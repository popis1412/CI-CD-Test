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QA\CI-CD-Test\Tests\"/>
    </mc:Choice>
  </mc:AlternateContent>
  <xr:revisionPtr revIDLastSave="0" documentId="13_ncr:1_{403996B2-71EB-4392-A2DA-476DB05BD2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" sheetId="1" r:id="rId1"/>
    <sheet name="TC_Batt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7" i="2"/>
  <c r="D6" i="2"/>
  <c r="D5" i="2"/>
  <c r="D4" i="2"/>
  <c r="D2" i="2" l="1"/>
  <c r="E3" i="2" s="1"/>
  <c r="E7" i="2" l="1"/>
  <c r="E6" i="2"/>
  <c r="E5" i="2"/>
  <c r="E4" i="2"/>
  <c r="E2" i="2" l="1"/>
</calcChain>
</file>

<file path=xl/sharedStrings.xml><?xml version="1.0" encoding="utf-8"?>
<sst xmlns="http://schemas.openxmlformats.org/spreadsheetml/2006/main" count="683" uniqueCount="404">
  <si>
    <t>QA Plan</t>
  </si>
  <si>
    <t>1. 테스트 범위</t>
  </si>
  <si>
    <t>[테스트 범위]</t>
  </si>
  <si>
    <t>1. 기능 테스트</t>
  </si>
  <si>
    <t>- 태그 전투 시스템 정상 동작 여부 확인</t>
  </si>
  <si>
    <t>- 전투 중 캐릭터 교체 입력 시 정상 전환 여부</t>
  </si>
  <si>
    <t>- 교체 시 태그 스킬 자동 발동 여부</t>
  </si>
  <si>
    <t>- 태그 스킬 발동 시 이펙트 및 데미지 정상 적용 여부</t>
  </si>
  <si>
    <t>- 캐릭터 상태(넉백, 피격 등)에 따른 교체 가능 여부 확인</t>
  </si>
  <si>
    <t>2. 전투 연계 테스트</t>
  </si>
  <si>
    <t>- 캐릭터 교체 후 스킬 연계 정상 동작 여부</t>
  </si>
  <si>
    <t>- 태그 스킬 → 일반 스킬 연계 흐름 확인</t>
  </si>
  <si>
    <t>- 적 공격 타이밍에 따른 카운터(반격) 동작 여부</t>
  </si>
  <si>
    <t>3. 예외 상황 테스트</t>
  </si>
  <si>
    <t>- 스킬 사용 중 교체 시 충돌 여부</t>
  </si>
  <si>
    <t>- 교체 직전 피격 시 상태 처리 정상 여부</t>
  </si>
  <si>
    <t>- 쿨타임 및 리소스(TP 등) 정상 적용 여부</t>
  </si>
  <si>
    <t>4. UX / 피드백 테스트</t>
  </si>
  <si>
    <t>- 태그 가능 상태 UI 표시 여부</t>
  </si>
  <si>
    <t>- 태그 스킬 발동 타이밍 피드백 적절성</t>
  </si>
  <si>
    <t>- 교체 시 카메라 및 연출 자연스러움</t>
  </si>
  <si>
    <t>[테스트 제외 사항]</t>
  </si>
  <si>
    <t>1. 데미지 수치 밸런스 검증 제외</t>
  </si>
  <si>
    <t>2. 캐릭터 성장 및 스탯 관련 수치 검증 제외</t>
  </si>
  <si>
    <t>3. 전체 콘텐츠(퀘스트, 스토리 등) 진행 여부 제외</t>
  </si>
  <si>
    <t>2. 테스트 환경 (최소사양 정의)</t>
  </si>
  <si>
    <t>구분</t>
  </si>
  <si>
    <t>최소 사양</t>
  </si>
  <si>
    <t>비고</t>
  </si>
  <si>
    <t>AOS</t>
  </si>
  <si>
    <t>갤럭시 S20</t>
  </si>
  <si>
    <t>iOS</t>
  </si>
  <si>
    <t>iPhone 12 Pro (4GB)</t>
  </si>
  <si>
    <t>PC</t>
  </si>
  <si>
    <t>i5 / 16GB</t>
  </si>
  <si>
    <t>3. 테스트 우선 순위</t>
  </si>
  <si>
    <t>1순위 (Critical)</t>
  </si>
  <si>
    <t>- 캐릭터 교체 기능 정상 동작 여부</t>
  </si>
  <si>
    <t>- 태그 스킬 발동 여부 및 전투 영향</t>
  </si>
  <si>
    <t>- 교체 중 게임 진행 불가(프리징, 크래시) 여부</t>
  </si>
  <si>
    <t>2순위 (High)</t>
  </si>
  <si>
    <t>- 태그 스킬 타이밍 및 반응성</t>
  </si>
  <si>
    <t>- 스킬 연계 및 전투 흐름 유지 여부</t>
  </si>
  <si>
    <t>- 전투 중 상태 이상 처리 (넉백, 피격 등)</t>
  </si>
  <si>
    <t>3순위 (Medium)</t>
  </si>
  <si>
    <t>- UI 표시 및 피드백 정확성</t>
  </si>
  <si>
    <t>- 연출 자연스러움 및 카메라 처리</t>
  </si>
  <si>
    <t>4. 리스크</t>
  </si>
  <si>
    <t>- 캐릭터 교체 타이밍에 따른 상태 충돌 (피격, 넉백 중 교체)</t>
  </si>
  <si>
    <t>- 태그 스킬 발동 누락 또는 중복 발동 가능성</t>
  </si>
  <si>
    <t>- 교체 시 애니메이션 및 판정 불일치</t>
  </si>
  <si>
    <t>- 전투 중 잦은 교체로 인한 성능 저하 가능성</t>
  </si>
  <si>
    <t>- 네트워크 환경에서 입력 지연으로 인한 타이밍 오류</t>
  </si>
  <si>
    <t>5. 테스트 종료 기준</t>
  </si>
  <si>
    <t>- Critical / High 등급 버그 0건</t>
  </si>
  <si>
    <t>- 주요 전투 흐름 정상 동작 확인</t>
  </si>
  <si>
    <t>- 태그 전투 기능 플레이 불가 이슈 없음</t>
  </si>
  <si>
    <t>심각한 버그 수정 완료</t>
  </si>
  <si>
    <t>- 캐릭터 교체 불가, 태그 스킬 미발동 등 주요 기능 오류 0건</t>
  </si>
  <si>
    <t>Count</t>
  </si>
  <si>
    <t>Progress</t>
  </si>
  <si>
    <t>Test Case 참고사항</t>
  </si>
  <si>
    <t>Total</t>
  </si>
  <si>
    <t>Pass : 검수 기준을 통과한 사항</t>
  </si>
  <si>
    <t>Pass</t>
  </si>
  <si>
    <t>Fail</t>
  </si>
  <si>
    <t>Fail : 검수 기준에 미달하거나 기대 결과대로 기능 동작이 되지 않는 사항</t>
  </si>
  <si>
    <t>Blocked</t>
  </si>
  <si>
    <t>Not Test : 테스트를 수행하지 않은 사항</t>
  </si>
  <si>
    <t>Blocked : 어떤 사유로 테스트를 할 수 없는 사항</t>
  </si>
  <si>
    <t>N/A</t>
  </si>
  <si>
    <t>N/A : 테스트 제외 사항, 전체 진행상황(Progress) 집계에서 제외항목</t>
  </si>
  <si>
    <t>NO</t>
  </si>
  <si>
    <t>대분류</t>
  </si>
  <si>
    <t>중분류</t>
  </si>
  <si>
    <t>사전조건</t>
  </si>
  <si>
    <t>테스트 액션</t>
  </si>
  <si>
    <t>기대 결과</t>
  </si>
  <si>
    <t>수행 결과</t>
  </si>
  <si>
    <t>테스트 수행자</t>
  </si>
  <si>
    <t>수행 날짜</t>
  </si>
  <si>
    <t>Notes</t>
  </si>
  <si>
    <t>전투 UI</t>
  </si>
  <si>
    <t>레이드 타이머</t>
  </si>
  <si>
    <t>서버 접속 및 보스전(붉은 마신) 진입 상태</t>
  </si>
  <si>
    <t>화면 상단 중앙의 타이머 영역을 확인한다.</t>
  </si>
  <si>
    <t>00:00:00 형식의 타이머 UI가 정상 노출된다.</t>
  </si>
  <si>
    <t>보스전 시작 및 캐릭터 조작 가능 상태</t>
  </si>
  <si>
    <t>타이머의 숫자 변화를 실시간으로 관찰한다.</t>
  </si>
  <si>
    <t>타이머 수치가 1초 단위로 실시간 차감(카운트다운)된다.</t>
  </si>
  <si>
    <t>전투 중 다수의 데미지 텍스트 및 이펙트 발생 상태</t>
  </si>
  <si>
    <t>화려한 이펙트가 발생하는 상황에서 타이머를 확인한다.</t>
  </si>
  <si>
    <t>타이머 숫자가 배경 이펙트와 분리되어 명확히 식별된다.</t>
  </si>
  <si>
    <t>보스 정보</t>
  </si>
  <si>
    <t>보스(붉은 마신) 타깃팅 활성화 상태</t>
  </si>
  <si>
    <t>타이머 하단 중앙의 텍스트 영역을 확인한다.</t>
  </si>
  <si>
    <t>붉은 마신' 이름 텍스트가 정상 노출된다.</t>
  </si>
  <si>
    <t>보스 타깃팅 활성화 상태</t>
  </si>
  <si>
    <t>보스 이름 왼쪽의 레벨 표시 영역을 확인한다.</t>
  </si>
  <si>
    <t>보스의 레벨 정보(Lv.22)가 주황색 텍스트로 노출된다.</t>
  </si>
  <si>
    <t>미니맵</t>
  </si>
  <si>
    <t>서버 접속 및 게임 월드 진입 상태</t>
  </si>
  <si>
    <t>화면 우측 상단의 원형 UI 영역을 확인한다.</t>
  </si>
  <si>
    <t>원형 미니맵 UI가 레이어 최상단에 정상 노출된다.</t>
  </si>
  <si>
    <t>게임 내 시간 시스템 정상 작동 상태</t>
  </si>
  <si>
    <t>미니맵 상단 중앙의 숫자 표시를 확인한다.</t>
  </si>
  <si>
    <t>현재 게임 시간(04:51)이 텍스트로 표시된다.</t>
  </si>
  <si>
    <t>서버 접속 상태</t>
  </si>
  <si>
    <t>미니맵 하단의 영문자 표시를 확인한다.</t>
  </si>
  <si>
    <t>현재 접속 중인 서버 채널 정보(M)가 표시된다.</t>
  </si>
  <si>
    <t>게임 플레이 중 캐릭터 위치 이동 상태</t>
  </si>
  <si>
    <t>캐릭터를 이동시키며 미니맵 내부를 관찰한다.</t>
  </si>
  <si>
    <t>현재 위치한 지형의 고저차와 길이 실시간으로 로드된다.</t>
  </si>
  <si>
    <t>마우스 조작으로 카메라 시점 회전 상태</t>
  </si>
  <si>
    <t>마우스를 좌우로 움직여 시점을 회전시킨다.</t>
  </si>
  <si>
    <t>미니맵 테두리의 방위 표시(N, S, E, W)가 시점에 맞춰 연동된다.</t>
  </si>
  <si>
    <t>메뉴</t>
  </si>
  <si>
    <t>게임 플레이 중 필드 대기 상태</t>
  </si>
  <si>
    <t>화면 우측 상단 끝의 아이콘 영역을 확인한다.</t>
  </si>
  <si>
    <t>세 줄 모양의 메뉴 아이콘이 정상 노출된다.</t>
  </si>
  <si>
    <t>키보드 ESC 키 입력 가능 상태</t>
  </si>
  <si>
    <t>키보드의 ESC 키를 1회 입력한다.</t>
  </si>
  <si>
    <t>일시정지 아이콘이 출력되며 전체 메뉴 UI가 호출된다.</t>
  </si>
  <si>
    <t>보스 HP바</t>
  </si>
  <si>
    <t>보스전 진입 및 보스 타깃팅 상태</t>
  </si>
  <si>
    <t>보스 이름 하단의 바(Bar) 영역을 확인한다.</t>
  </si>
  <si>
    <t>빨간색 보스 전용 HP바가 가로로 길게 노출된다.</t>
  </si>
  <si>
    <t>캐릭터가 보스를 공격하여 데미지 가함</t>
  </si>
  <si>
    <t>보스를 타격한 후 HP바의 게이지를 확인한다.</t>
  </si>
  <si>
    <t>보스 타격 시 HP바 게이지가 실시간으로 감소한다.</t>
  </si>
  <si>
    <t>보스전 UI 활성화 상태</t>
  </si>
  <si>
    <t>HP바 양 끝의 장식 문양을 확인한다.</t>
  </si>
  <si>
    <t>HP바 양 끝의 금속 장식 요소가 이미지와 동일하게 출력된다.</t>
  </si>
  <si>
    <t>보스 상태</t>
  </si>
  <si>
    <t>보스에게 디버프 스킬 적중 상태</t>
  </si>
  <si>
    <t>보스 HP바 하단 중앙 영역을 확인한다.</t>
  </si>
  <si>
    <t>적용된 상태 이상 아이콘들이 가로로 나열되어 노출된다.</t>
  </si>
  <si>
    <t>보스 속성 설정 상태</t>
  </si>
  <si>
    <t>보스 HP바 왼쪽의 원형 아이콘을 확인한다.</t>
  </si>
  <si>
    <t>보스의 속성 아이콘 및 원형 게이지가 정상 노출된다.</t>
  </si>
  <si>
    <t>보스 모델링 로드 완료 상태</t>
  </si>
  <si>
    <t>보스 외형과 HP바 옆의 속성 아이콘을 비교한다.</t>
  </si>
  <si>
    <t>보스 모델링의 특징과 속성 아이콘의 종류가 일치한다.</t>
  </si>
  <si>
    <t>전투 시스템</t>
  </si>
  <si>
    <t>보스 모델링</t>
  </si>
  <si>
    <t>보스전 진입 및 연출 재생 상태</t>
  </si>
  <si>
    <t>화면 중앙의 보스 캐릭터를 확인한다.</t>
  </si>
  <si>
    <t>붉은 마신'의 거대 모델링이 정상적으로 출력된다.</t>
  </si>
  <si>
    <t>보스가 강력한 공격 패턴 시전 직전 상태</t>
  </si>
  <si>
    <t>보스의 공격 전조 현상을 관찰한다.</t>
  </si>
  <si>
    <t>적의 몸체 외곽선이 푸른색으로 빛나는 연출이 발생한다.</t>
  </si>
  <si>
    <t>보스가 공격 패턴 애니메이션 시전 상태</t>
  </si>
  <si>
    <t>보스의 움직임을 실시간으로 관찰한다.</t>
  </si>
  <si>
    <t>보스의 공격 동작 애니메이션이 프레임 드랍 없이 재생된다.</t>
  </si>
  <si>
    <t>캐릭터가 강력한 스킬로 보스 타격 상태</t>
  </si>
  <si>
    <t>보스 타격 시 보스의 반응을 확인한다.</t>
  </si>
  <si>
    <t>타격에 반응하여 보스 모델링이 움찔하거나 밀려난다.</t>
  </si>
  <si>
    <t>사운드</t>
  </si>
  <si>
    <t>스피커 또는 이어폰 연결 상태</t>
  </si>
  <si>
    <t>스킬 단축키를 입력하여 스킬을 시전한다.</t>
  </si>
  <si>
    <t>기획된 고유의 효과음이 지연 없이 정상 출력된다.</t>
  </si>
  <si>
    <t>전투 연출</t>
  </si>
  <si>
    <t>데미지 텍스트</t>
  </si>
  <si>
    <t>캐릭터의 일반 공격(마우스 좌클릭) 적중</t>
  </si>
  <si>
    <t>보스 신체 타격 지점의 숫자를 확인한다.</t>
  </si>
  <si>
    <t>흰색 숫자로 데미지 수치가 화면에 출력된다.</t>
  </si>
  <si>
    <t>캐릭터의 치명타 확률 발동 및 적중</t>
  </si>
  <si>
    <t>보라색의 크고 화려한 크리티컬 데미지 숫자가 출력된다.</t>
  </si>
  <si>
    <t>데미지 텍스트 발생 직후 상태</t>
  </si>
  <si>
    <t>숫자가 출력된 후의 움직임을 관찰한다.</t>
  </si>
  <si>
    <t>숫자가 위로 떠오르며 서서히 투명하게 사라진다.</t>
  </si>
  <si>
    <t>데미지 발생 및 텍스트 출력 상태</t>
  </si>
  <si>
    <t>출력되는 숫자의 서체 디자인을 확인한다.</t>
  </si>
  <si>
    <t>숫자의 서체가 기획된 전용 데미지 폰트 이미지로 노출된다.</t>
  </si>
  <si>
    <t>이펙트</t>
  </si>
  <si>
    <t>캐릭터가 속성 스킬 시전 및 적중</t>
  </si>
  <si>
    <t>보스 신체 부위의 파티클을 확인한다.</t>
  </si>
  <si>
    <t>타격 및 폭발 파티클 이펙트가 보스 주변에 정상 출력된다.</t>
  </si>
  <si>
    <t>캐릭터 간 시너지 스킬 발동 조건 충족</t>
  </si>
  <si>
    <t>캐릭터 주변의 특수 효과를 확인한다.</t>
  </si>
  <si>
    <t>보라색 구체 등 시너지 전용 이펙트가 캐릭터 주변에 노출된다.</t>
  </si>
  <si>
    <t>파티원 UI</t>
  </si>
  <si>
    <t>4인 파티 편성 및 서버 접속 상태</t>
  </si>
  <si>
    <t>화면 우측 중앙의 캐릭터 리스트를 확인한다.</t>
  </si>
  <si>
    <t>캐릭터 4명의 초상화 아이콘이 세로로 정렬되어 노출된다.</t>
  </si>
  <si>
    <t>파티 1번 슬롯 캐릭터 배치 상태</t>
  </si>
  <si>
    <t>1번 캐릭터 초상화 왼쪽 영역을 확인한다.</t>
  </si>
  <si>
    <t>숫자 '1' 단축키 가이드가 아이콘 옆에 표시된다.</t>
  </si>
  <si>
    <t>파티 2번 슬롯 캐릭터 배치 상태</t>
  </si>
  <si>
    <t>2번 캐릭터 초상화 왼쪽 영역을 확인한다.</t>
  </si>
  <si>
    <t>숫자 '2' 단축키 가이드가 아이콘 옆에 표시된다.</t>
  </si>
  <si>
    <t>파티 3번 슬롯 캐릭터 배치 상태</t>
  </si>
  <si>
    <t>3번 캐릭터 초상화 왼쪽 영역을 확인한다.</t>
  </si>
  <si>
    <t>숫자 '3' 단축키 가이드가 아이콘 옆에 표시된다.</t>
  </si>
  <si>
    <t>파티 4번 슬롯 캐릭터 배치 상태</t>
  </si>
  <si>
    <t>4번 캐릭터 초상화 왼쪽 영역을 확인한다.</t>
  </si>
  <si>
    <t>숫자 '4' 단축키 가이드가 아이콘 옆에 표시된다.</t>
  </si>
  <si>
    <t>태그 포인트 모두 소모(0개) 상태</t>
  </si>
  <si>
    <t>초상화 하단의 포인트 아이콘을 확인한다.</t>
  </si>
  <si>
    <t>태그 포인트 아이콘이 회색(비활성)으로 표시된다.</t>
  </si>
  <si>
    <t>캐릭터가 적을 공격하여 게이지 획득 중</t>
  </si>
  <si>
    <t>태그 포인트 아이콘의 변화를 관찰한다.</t>
  </si>
  <si>
    <t>아이콘이 파란색으로 깜빡깜빡하며 충전 중임을 나타낸다.</t>
  </si>
  <si>
    <t>태그 게이지 1000 누적 완료 상태</t>
  </si>
  <si>
    <t>태그 포인트 아이콘의 상태를 확인한다.</t>
  </si>
  <si>
    <t>포인트 아이콘이 파란색으로 완전히 점등되어 노출된다.</t>
  </si>
  <si>
    <t>보스가 푸른색 빛을 내며 공격 시전 상태</t>
  </si>
  <si>
    <t>대기 중인 캐릭터 초상화 영역을 확인한다.</t>
  </si>
  <si>
    <t>초상화에 푸른색 휘두르는(스윙) 효과 연출이 나타난다.</t>
  </si>
  <si>
    <t>각 캐릭터에게 고유 속성 설정 상태</t>
  </si>
  <si>
    <t>초상화 우측 상단의 마크를 확인한다.</t>
  </si>
  <si>
    <t>해당 캐릭터의 속성 아이콘이 컬러로 노출된다.</t>
  </si>
  <si>
    <t>파티원 정보 로드 완료 상태</t>
  </si>
  <si>
    <t>초상화 하단의 텍스트 영역을 확인한다.</t>
  </si>
  <si>
    <t>캐릭터 이름 텍스트가 잘림 없이 정상 노출된다.</t>
  </si>
  <si>
    <t>숫자키를 눌러 캐릭터 교체 직후 상태</t>
  </si>
  <si>
    <t>교체된 캐릭터 아이콘의 밝기를 확인한다.</t>
  </si>
  <si>
    <t>아이콘이 어두워지며 재사용 대기 시간이 표시된다.</t>
  </si>
  <si>
    <t>파티원 중 한 명의 HP가 0이 된 상태</t>
  </si>
  <si>
    <t>해당 캐릭터의 초상화 상태를 확인한다.</t>
  </si>
  <si>
    <t>초상화가 비활성화 처리되어 교체 불가 상태임을 나타낸다.</t>
  </si>
  <si>
    <t>특정 캐릭터 조작 중인 상태</t>
  </si>
  <si>
    <t>조작 중인 캐릭터의 초상화 테두리를 확인한다.</t>
  </si>
  <si>
    <t>현재 조작 중인 캐릭터 아이콘에 테두리 강조 효과가 적용된다.</t>
  </si>
  <si>
    <t>시너지 발동 조건(특정 조합) 충족 상태</t>
  </si>
  <si>
    <t>초상화 주변의 파티클 효과를 확인한다.</t>
  </si>
  <si>
    <t>초상화 주변에 시너지 발동 가능을 알리는 특수 연출이 나타난다.</t>
  </si>
  <si>
    <t>하단 왼쪽 UI</t>
  </si>
  <si>
    <t>화면 좌측 하단의 아이콘 영역을 확인한다.</t>
  </si>
  <si>
    <t>Z 단축키 메뉴 아이콘이 정상적으로 노출된다.</t>
  </si>
  <si>
    <t>키보드 Z 키 입력 가능 상태</t>
  </si>
  <si>
    <t>키보드의 Z 키를 1회 입력한다.</t>
  </si>
  <si>
    <t>해당 메뉴(인벤토리 등) UI가 화면에 정상 호출된다.</t>
  </si>
  <si>
    <t>Z 아이콘 우측의 텍스트를 확인한다.</t>
  </si>
  <si>
    <t>Enter' 단축키 가이드 텍스트가 노출된다.</t>
  </si>
  <si>
    <t>Enter 가이드 우측의 아이콘을 확인한다.</t>
  </si>
  <si>
    <t>말풍선 모양의 채팅 아이콘이 정상 노출된다.</t>
  </si>
  <si>
    <t>키보드 Enter 키 입력 가능 상태</t>
  </si>
  <si>
    <t>키보드의 Enter 키를 1회 입력한다.</t>
  </si>
  <si>
    <t>화면 좌측 하단에 채팅 입력 필드가 활성화된다.</t>
  </si>
  <si>
    <t>캐릭터 HP바</t>
  </si>
  <si>
    <t>서버 접속 및 전투 지역 진입 상태</t>
  </si>
  <si>
    <t>화면 하단 중앙의 바(Bar) 영역을 확인한다.</t>
  </si>
  <si>
    <t>녹색의 캐릭터 전용 HP바가 정상 노출된다.</t>
  </si>
  <si>
    <t>캐릭터 정보 로드 완료 상태</t>
  </si>
  <si>
    <t>HP바 내부의 숫자 텍스트를 확인한다.</t>
  </si>
  <si>
    <t>현재 HP / 최대 HP' 수치가 텍스트로 표시된다.</t>
  </si>
  <si>
    <t>보스의 공격에 캐릭터가 피격된 상태</t>
  </si>
  <si>
    <t>HP바의 게이지 변화를 관찰한다.</t>
  </si>
  <si>
    <t>데미지량만큼 녹색 게이지가 즉시 감소하며 수치가 갱신된다.</t>
  </si>
  <si>
    <t>캐릭터 레벨 정보 로드 상태</t>
  </si>
  <si>
    <t>HP바 왼쪽 상단의 텍스트를 확인한다.</t>
  </si>
  <si>
    <t>LV.31' 형식의 레벨 정보가 흰색으로 노출된다.</t>
  </si>
  <si>
    <t>조작 캐릭터 선택 상태</t>
  </si>
  <si>
    <t>HP바 상단 중앙의 텍스트를 확인한다.</t>
  </si>
  <si>
    <t>현재 조작 중인 캐릭터 이름이 정상 노출된다.</t>
  </si>
  <si>
    <t>캐릭터 HP가 전체의 20% 미만인 상태</t>
  </si>
  <si>
    <t>HP바의 연출 변화를 관찰한다.</t>
  </si>
  <si>
    <t>HP바 전체가 붉은색으로 깜빡이며 위급 상황임을 알린다.</t>
  </si>
  <si>
    <t>마력(MP)바</t>
  </si>
  <si>
    <t>캐릭터 HP바 하단의 바 영역을 확인한다.</t>
  </si>
  <si>
    <t>파란색의 마력(MP) 게이지 바가 정상 노출된다.</t>
  </si>
  <si>
    <t>MP바 내부의 숫자 텍스트를 확인한다.</t>
  </si>
  <si>
    <t>현재 보유한 마력 수치가 숫자로 표시된다.</t>
  </si>
  <si>
    <t>키보드 Q 또는 E 키를 눌러 스킬 시전</t>
  </si>
  <si>
    <t>MP바의 게이지 변화를 관찰한다.</t>
  </si>
  <si>
    <t>스킬 소모 마력만큼 파란색 게이지가 즉시 차감된다.</t>
  </si>
  <si>
    <t>마력 소모 후 대기 상태</t>
  </si>
  <si>
    <t>MP바의 게이지 회복을 관찰한다.</t>
  </si>
  <si>
    <t>시간에 따라 MP 게이지가 서서히 자동 회복된다.</t>
  </si>
  <si>
    <t>별의 서 마력</t>
  </si>
  <si>
    <t>별의 서 시스템 활성화 상태</t>
  </si>
  <si>
    <t>캐릭터 HP바 하단 좌측의 아이콘을 확인한다.</t>
  </si>
  <si>
    <t>보라색 원형 마력 포인트 아이콘이 노출된다.</t>
  </si>
  <si>
    <t>마력 포인트 획득 상태</t>
  </si>
  <si>
    <t>보라색 아이콘 옆의 숫자를 확인한다.</t>
  </si>
  <si>
    <t>보유한 포인트 숫자가 아이콘 옆에 정확히 표시된다.</t>
  </si>
  <si>
    <t>별의 서 전용 특수 스킬 시전</t>
  </si>
  <si>
    <t>보라색 아이콘의 숫자 변화를 확인한다.</t>
  </si>
  <si>
    <t>스킬 사용 즉시 마력 포인트 숫자가 차감된다.</t>
  </si>
  <si>
    <t>적 처치 등으로 포인트 획득 시</t>
  </si>
  <si>
    <t>보라색 아이콘의 연출을 확인한다.</t>
  </si>
  <si>
    <t>포인트 획득 시 보라색 아이콘이 일시적으로 밝게 빛난다.</t>
  </si>
  <si>
    <t>캐릭터 버프</t>
  </si>
  <si>
    <t>버프 스킬 시전 또는 효과 적용 상태</t>
  </si>
  <si>
    <t>캐릭터 HP바 상단 영역을 확인한다.</t>
  </si>
  <si>
    <t>적용 중인 버프 아이콘들이 가로로 즉시 생성된다.</t>
  </si>
  <si>
    <t>버프 효과 적용 중인 상태</t>
  </si>
  <si>
    <t>버프 아이콘 테두리의 변화를 관찰한다.</t>
  </si>
  <si>
    <t>아이콘 테두리에 남은 시간을 알리는 게이지가 표시된다.</t>
  </si>
  <si>
    <t>시너지 발동 조건 충족 상태</t>
  </si>
  <si>
    <t>화면 중앙의 텍스트 박스를 확인한다.</t>
  </si>
  <si>
    <t>화염 속성 피해 증가' 문구가 파란색 박스로 노출된다.</t>
  </si>
  <si>
    <t>동일한 버프를 중복 적용한 상태</t>
  </si>
  <si>
    <t>버프 아이콘 우측 하단을 확인한다.</t>
  </si>
  <si>
    <t>아이콘 우측 하단에 중첩 횟수 숫자가 노출된다.</t>
  </si>
  <si>
    <t>버프 지속 시간 만료 상태</t>
  </si>
  <si>
    <t>버프 아이콘의 소멸 여부를 확인한다.</t>
  </si>
  <si>
    <t>지속 시간이 끝나는 즉시 해당 아이콘이 UI에서 제거된다.</t>
  </si>
  <si>
    <t>하단 오른쪽 UI</t>
  </si>
  <si>
    <t>모험 스킬 습득 상태</t>
  </si>
  <si>
    <t>화면 우측 하단 스킬창 왼쪽을 확인한다.</t>
  </si>
  <si>
    <t>T 단축키 아이콘이 정상적으로 노출된다.</t>
  </si>
  <si>
    <t>키보드 T 키 입력 가능 상태</t>
  </si>
  <si>
    <t>키보드의 T 키를 1회 입력한다.</t>
  </si>
  <si>
    <t>캐릭터가 탈것에 탑승하거나 모험 스킬을 시전한다.</t>
  </si>
  <si>
    <t>일반 스킬 1번 장착 상태</t>
  </si>
  <si>
    <t>화면 우측 하단 스킬창의 아이콘을 확인한다.</t>
  </si>
  <si>
    <t>Q 단축키 아이콘이 정상적으로 노출된다.</t>
  </si>
  <si>
    <t>키보드 Q 키 입력 가능 상태</t>
  </si>
  <si>
    <t>키보드의 Q 키를 1회 입력한다.</t>
  </si>
  <si>
    <t>해당 스킬이 발동되며 캐릭터 애니메이션이 재생된다.</t>
  </si>
  <si>
    <t>Q 스킬 사용 직후 상태</t>
  </si>
  <si>
    <t>Q 아이콘 중앙의 숫자 표시를 확인한다.</t>
  </si>
  <si>
    <t>아이콘이 어두워지며 남은 쿨타임 초가 표시된다.</t>
  </si>
  <si>
    <t>일반 스킬 2번 장착 상태</t>
  </si>
  <si>
    <t>E 단축키 아이콘이 정상적으로 노출된다.</t>
  </si>
  <si>
    <t>키보드 E 키 입력 가능 상태</t>
  </si>
  <si>
    <t>키보드의 E 키를 1회 입력한다.</t>
  </si>
  <si>
    <t>E 스킬 사용 직후 상태</t>
  </si>
  <si>
    <t>E 아이콘 중앙의 숫자 표시를 확인한다.</t>
  </si>
  <si>
    <t>필살기 게이지 100% 충전 상태</t>
  </si>
  <si>
    <t>스킬창 우측의 아이콘을 확인한다.</t>
  </si>
  <si>
    <t>R 단축키 필살기 아이콘이 활성화되어 노출된다.</t>
  </si>
  <si>
    <t>키보드 R 키 입력 가능 상태</t>
  </si>
  <si>
    <t>키보드의 R 키를 1회 입력한다.</t>
  </si>
  <si>
    <t>전용 필살기 컷신 연출과 함께 스킬이 발동된다.</t>
  </si>
  <si>
    <t>캐릭터 조작 가능 상태</t>
  </si>
  <si>
    <t>스킬창 중앙의 아이콘을 확인한다.</t>
  </si>
  <si>
    <t>칼 모양의 기본 공격 아이콘이 정상 노출된다.</t>
  </si>
  <si>
    <t>스킬창 우측 하단의 아이콘을 확인한다.</t>
  </si>
  <si>
    <t>신발 모양의 회피 아이콘이 정상 노출된다.</t>
  </si>
  <si>
    <t>미습득 스킬 슬롯 존재 상태</t>
  </si>
  <si>
    <t>비어있는 스킬 슬롯을 확인한다.</t>
  </si>
  <si>
    <t>해당 슬롯이 자물쇠 모양 아이콘으로 표시된다.</t>
  </si>
  <si>
    <t>상태 이상(침묵 등) 적용 상태</t>
  </si>
  <si>
    <t>스킬 아이콘의 색상 변화를 확인한다.</t>
  </si>
  <si>
    <t>모든 스킬 아이콘이 붉게 변하며 키 입력이 차단된다.</t>
  </si>
  <si>
    <t>쿨타임 중인 스킬 재입력 상태</t>
  </si>
  <si>
    <t>화면 상단의 메시지 영역을 확인한다.</t>
  </si>
  <si>
    <t>아직 재사용 대기 시간이...' 메시지가 출력된다.</t>
  </si>
  <si>
    <t>PC 플랫폼 조작 모드 상태</t>
  </si>
  <si>
    <t>각 스킬 아이콘 하단을 확인한다.</t>
  </si>
  <si>
    <t>Q, E, R, T 단축키 가이드 텍스트가 노출된다.</t>
  </si>
  <si>
    <t>속성 스킬 장착 상태</t>
  </si>
  <si>
    <t>스킬 아이콘 우측 하단을 확인한다.</t>
  </si>
  <si>
    <t>해당 스킬의 속성 마크가 아이콘 옆에 노출된다.</t>
  </si>
  <si>
    <t>특정 스킬 사용 후 연계기 활성 상태</t>
  </si>
  <si>
    <t>스킬 아이콘 테두리의 연출을 확인한다.</t>
  </si>
  <si>
    <t>연계 가능한 스킬 아이콘 테두리가 빛나며 회전한다.</t>
  </si>
  <si>
    <t>마력(MP) 부족 상태</t>
  </si>
  <si>
    <t>마력이 부족한 상태에서 스킬 아이콘을 확인한다.</t>
  </si>
  <si>
    <t>해당 스킬 아이콘이 파란색으로 어둡게 처리된다.</t>
  </si>
  <si>
    <t>환경 UI</t>
  </si>
  <si>
    <t>퀘스트 정보</t>
  </si>
  <si>
    <t>메인 퀘스트 수락 상태</t>
  </si>
  <si>
    <t>화면 좌측 상단의 텍스트 영역을 확인한다.</t>
  </si>
  <si>
    <t>다툼의 원인' 제목이 노란색으로 노출된다.</t>
  </si>
  <si>
    <t>퀘스트 진행 중인 상태</t>
  </si>
  <si>
    <t>퀘스트 제목 하단의 문구를 확인한다.</t>
  </si>
  <si>
    <t>드레퓌스와 대화하기' 목표 문구가 노출된다.</t>
  </si>
  <si>
    <t>키보드 X 키 입력 가능 상태</t>
  </si>
  <si>
    <t>키보드의 X 키를 1회 입력한다.</t>
  </si>
  <si>
    <t>캐릭터가 목표 지점을 향해 자동 이동을 시작한다.</t>
  </si>
  <si>
    <t>NPC 정보</t>
  </si>
  <si>
    <t>퀘스트 목표 NPC 근처 상태</t>
  </si>
  <si>
    <t>NPC 머리 위 영역을 확인한다.</t>
  </si>
  <si>
    <t>물음표(?) 모양의 퀘스트 마커가 노출된다.</t>
  </si>
  <si>
    <t>NPC 인식 거리 내 진입 상태</t>
  </si>
  <si>
    <t>NPC 머리 위 텍스트 영역을 확인한다.</t>
  </si>
  <si>
    <t>드레퓌스' 이름 텍스트가 정상 노출된다.</t>
  </si>
  <si>
    <t>상호작용</t>
  </si>
  <si>
    <t>NPC와 상호작용 가능한 거리 밀착 상태</t>
  </si>
  <si>
    <t>화면 중앙의 가이드 UI를 확인한다.</t>
  </si>
  <si>
    <t>대화하기 위한 단축키 가이드가 화면에 노출된다.</t>
  </si>
  <si>
    <t>알림</t>
  </si>
  <si>
    <t>새로운 알림 발생 상태</t>
  </si>
  <si>
    <t>화면 우측 상단의 종 아이콘을 확인한다.</t>
  </si>
  <si>
    <t>종 아이콘에 빨간색 점 알림 표시가 나타난다.</t>
  </si>
  <si>
    <t>나침반</t>
  </si>
  <si>
    <t>캐릭터 이동 중인 상태</t>
  </si>
  <si>
    <t>미니맵 테두리의 방위 표시를 관찰한다.</t>
  </si>
  <si>
    <t>방위 표시가 캐릭터 이동 방향에 맞춰 실시간 회전한다.</t>
  </si>
  <si>
    <t>채팅 로그</t>
  </si>
  <si>
    <t>메시지 수신 상태</t>
  </si>
  <si>
    <t>화면 좌측 하단의 채팅 영역을 확인한다.</t>
  </si>
  <si>
    <t>채팅 내용이 리스트 형식으로 실시간 출력된다.</t>
  </si>
  <si>
    <t>지역 정보</t>
  </si>
  <si>
    <t>새로운 지역 경계 진입 상태</t>
  </si>
  <si>
    <t>화면 중앙의 텍스트 연출을 확인한다.</t>
  </si>
  <si>
    <t>현재 진입한 지역 명칭이 큰 텍스트로 노출된다.</t>
  </si>
  <si>
    <t>로딩</t>
  </si>
  <si>
    <t>맵 이동 및 지역 전환 상태</t>
  </si>
  <si>
    <t>화면 전체의 변화를 관찰한다.</t>
  </si>
  <si>
    <t>전용 일러스트와 함께 로딩 게이지가 정상 작동한다.</t>
  </si>
  <si>
    <t>시스템 시간</t>
  </si>
  <si>
    <t>서버 접속 및 필드 대기 상태</t>
  </si>
  <si>
    <t>미니맵 상단의 시간 표시를 확인한다.</t>
  </si>
  <si>
    <t>실제 시간 또는 게임 시간이 오차 없이 표시된다.</t>
  </si>
  <si>
    <t>메뉴 닫기</t>
  </si>
  <si>
    <t>메뉴 UI 활성화 상태</t>
  </si>
  <si>
    <t>키보드의 ESC 키를 다시 1회 입력한다.</t>
  </si>
  <si>
    <t>열려있던 메뉴창이 즉시 닫히고 전투 화면으로 복귀된다.</t>
  </si>
  <si>
    <t>Not Test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</si>
</sst>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\ m\.\ d"/>
  </numFmts>
  <fonts count="19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  <scheme val="minor"/>
    </font>
    <font>
      <b/>
      <sz val="11"/>
      <color rgb="FFFFFFFF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theme="1"/>
      <name val="&quot;맑은 고딕&quot;"/>
      <family val="3"/>
      <charset val="129"/>
    </font>
    <font>
      <b/>
      <sz val="11"/>
      <color theme="1"/>
      <name val="&quot;맑은 고딕&quot;"/>
      <family val="3"/>
      <charset val="129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D4D4D4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1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 applyAlignment="1"/>
    <xf numFmtId="0" fontId="5" fillId="2" borderId="0" xfId="0" applyFont="1" applyFill="1" applyAlignment="1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/>
    <xf numFmtId="0" fontId="8" fillId="0" borderId="0" xfId="0" applyFont="1" applyAlignment="1"/>
    <xf numFmtId="0" fontId="1" fillId="2" borderId="0" xfId="0" applyFont="1" applyFill="1" applyAlignment="1">
      <alignment horizontal="left"/>
    </xf>
    <xf numFmtId="0" fontId="9" fillId="0" borderId="0" xfId="0" applyFont="1" applyAlignment="1"/>
    <xf numFmtId="0" fontId="4" fillId="0" borderId="0" xfId="0" applyFont="1" applyAlignment="1">
      <alignment horizontal="left"/>
    </xf>
    <xf numFmtId="0" fontId="6" fillId="2" borderId="0" xfId="0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/>
    <xf numFmtId="0" fontId="15" fillId="0" borderId="0" xfId="0" applyFont="1"/>
    <xf numFmtId="0" fontId="16" fillId="0" borderId="0" xfId="0" applyFont="1" applyAlignment="1"/>
    <xf numFmtId="0" fontId="11" fillId="0" borderId="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0" fontId="12" fillId="0" borderId="11" xfId="0" applyNumberFormat="1" applyFont="1" applyBorder="1" applyAlignment="1">
      <alignment horizontal="center"/>
    </xf>
    <xf numFmtId="0" fontId="15" fillId="0" borderId="11" xfId="0" applyFont="1" applyBorder="1" applyAlignment="1">
      <alignment horizontal="left" vertical="center"/>
    </xf>
    <xf numFmtId="0" fontId="11" fillId="0" borderId="6" xfId="0" applyFont="1" applyBorder="1" applyAlignment="1">
      <alignment horizontal="center"/>
    </xf>
    <xf numFmtId="0" fontId="18" fillId="0" borderId="0" xfId="0" applyFont="1" applyAlignment="1"/>
    <xf numFmtId="0" fontId="15" fillId="0" borderId="0" xfId="0" applyFont="1" applyAlignment="1"/>
    <xf numFmtId="0" fontId="13" fillId="0" borderId="11" xfId="0" applyFont="1" applyBorder="1" applyAlignment="1">
      <alignment horizontal="center"/>
    </xf>
    <xf numFmtId="0" fontId="13" fillId="0" borderId="11" xfId="0" applyFont="1" applyBorder="1" applyAlignment="1"/>
    <xf numFmtId="0" fontId="15" fillId="0" borderId="11" xfId="0" applyFont="1" applyBorder="1" applyAlignment="1"/>
    <xf numFmtId="0" fontId="15" fillId="0" borderId="11" xfId="0" applyFont="1" applyBorder="1"/>
    <xf numFmtId="176" fontId="15" fillId="0" borderId="11" xfId="0" applyNumberFormat="1" applyFont="1" applyBorder="1"/>
    <xf numFmtId="0" fontId="13" fillId="0" borderId="11" xfId="0" quotePrefix="1" applyFont="1" applyBorder="1" applyAlignment="1"/>
    <xf numFmtId="0" fontId="15" fillId="0" borderId="0" xfId="0" applyFont="1" applyAlignment="1">
      <alignment horizontal="center"/>
    </xf>
    <xf numFmtId="0" fontId="4" fillId="4" borderId="0" xfId="0" applyFont="1" applyFill="1" applyAlignment="1">
      <alignment horizontal="left"/>
    </xf>
    <xf numFmtId="0" fontId="0" fillId="0" borderId="0" xfId="0" applyFont="1" applyAlignment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3" fillId="3" borderId="0" xfId="0" applyFont="1" applyFill="1" applyAlignment="1">
      <alignment horizontal="left"/>
    </xf>
    <xf numFmtId="0" fontId="5" fillId="2" borderId="0" xfId="0" applyFont="1" applyFill="1"/>
    <xf numFmtId="0" fontId="1" fillId="0" borderId="0" xfId="0" applyFont="1" applyAlignment="1"/>
    <xf numFmtId="0" fontId="3" fillId="3" borderId="6" xfId="0" applyFont="1" applyFill="1" applyBorder="1" applyAlignment="1">
      <alignment horizontal="center" vertical="center"/>
    </xf>
    <xf numFmtId="0" fontId="7" fillId="0" borderId="6" xfId="0" applyFont="1" applyBorder="1"/>
    <xf numFmtId="0" fontId="11" fillId="5" borderId="0" xfId="0" applyFont="1" applyFill="1" applyAlignment="1">
      <alignment horizontal="center"/>
    </xf>
    <xf numFmtId="0" fontId="16" fillId="0" borderId="0" xfId="0" applyFont="1" applyAlignment="1"/>
    <xf numFmtId="0" fontId="15" fillId="0" borderId="12" xfId="0" applyFont="1" applyBorder="1" applyAlignment="1">
      <alignment horizontal="left" vertical="center"/>
    </xf>
    <xf numFmtId="0" fontId="17" fillId="0" borderId="13" xfId="0" applyFont="1" applyBorder="1"/>
    <xf numFmtId="0" fontId="11" fillId="5" borderId="2" xfId="0" applyFont="1" applyFill="1" applyBorder="1" applyAlignment="1">
      <alignment horizontal="center"/>
    </xf>
    <xf numFmtId="0" fontId="17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5"/>
  <sheetViews>
    <sheetView workbookViewId="0"/>
  </sheetViews>
  <sheetFormatPr defaultColWidth="12.6640625" defaultRowHeight="15.75" customHeight="1"/>
  <cols>
    <col min="3" max="3" width="18" customWidth="1"/>
    <col min="7" max="7" width="37.88671875" customWidth="1"/>
  </cols>
  <sheetData>
    <row r="1" spans="1:26">
      <c r="A1" s="1"/>
      <c r="B1" s="1"/>
      <c r="C1" s="1"/>
      <c r="D1" s="1"/>
      <c r="E1" s="1"/>
      <c r="F1" s="1"/>
      <c r="G1" s="1"/>
      <c r="H1" s="2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61" t="s">
        <v>0</v>
      </c>
      <c r="C2" s="57"/>
      <c r="D2" s="57"/>
      <c r="E2" s="57"/>
      <c r="F2" s="57"/>
      <c r="G2" s="57"/>
      <c r="H2" s="4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/>
      <c r="B3" s="1"/>
      <c r="C3" s="1"/>
      <c r="D3" s="1"/>
      <c r="E3" s="1"/>
      <c r="F3" s="1"/>
      <c r="G3" s="1"/>
      <c r="H3" s="2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/>
      <c r="B4" s="56" t="s">
        <v>1</v>
      </c>
      <c r="C4" s="57"/>
      <c r="D4" s="57"/>
      <c r="E4" s="57"/>
      <c r="F4" s="57"/>
      <c r="G4" s="57"/>
      <c r="H4" s="6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7"/>
      <c r="B5" s="8" t="s">
        <v>2</v>
      </c>
      <c r="C5" s="7"/>
      <c r="D5" s="7"/>
      <c r="E5" s="7"/>
      <c r="F5" s="7"/>
      <c r="G5" s="7"/>
      <c r="H5" s="9"/>
      <c r="I5" s="7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7"/>
      <c r="B6" s="10"/>
      <c r="C6" s="11"/>
      <c r="D6" s="11"/>
      <c r="E6" s="11"/>
      <c r="F6" s="11"/>
      <c r="G6" s="12"/>
      <c r="H6" s="13"/>
      <c r="I6" s="7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7"/>
      <c r="B7" s="14" t="s">
        <v>3</v>
      </c>
      <c r="C7" s="7"/>
      <c r="D7" s="7"/>
      <c r="E7" s="7"/>
      <c r="F7" s="7"/>
      <c r="G7" s="7"/>
      <c r="H7" s="13"/>
      <c r="I7" s="7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7"/>
      <c r="B8" s="8" t="s">
        <v>4</v>
      </c>
      <c r="C8" s="7"/>
      <c r="D8" s="7"/>
      <c r="E8" s="7"/>
      <c r="F8" s="7"/>
      <c r="G8" s="7"/>
      <c r="H8" s="13"/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7"/>
      <c r="B9" s="8" t="s">
        <v>5</v>
      </c>
      <c r="C9" s="7"/>
      <c r="D9" s="7"/>
      <c r="E9" s="7"/>
      <c r="F9" s="7"/>
      <c r="G9" s="7"/>
      <c r="H9" s="13"/>
      <c r="I9" s="7"/>
      <c r="J9" s="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7"/>
      <c r="B10" s="8" t="s">
        <v>6</v>
      </c>
      <c r="C10" s="7"/>
      <c r="D10" s="7"/>
      <c r="E10" s="7"/>
      <c r="F10" s="7"/>
      <c r="G10" s="7"/>
      <c r="H10" s="13"/>
      <c r="I10" s="7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7"/>
      <c r="B11" s="8" t="s">
        <v>7</v>
      </c>
      <c r="C11" s="7"/>
      <c r="D11" s="7"/>
      <c r="E11" s="7"/>
      <c r="F11" s="7"/>
      <c r="G11" s="7"/>
      <c r="H11" s="13"/>
      <c r="I11" s="7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7"/>
      <c r="B12" s="8" t="s">
        <v>8</v>
      </c>
      <c r="C12" s="7"/>
      <c r="D12" s="7"/>
      <c r="E12" s="7"/>
      <c r="F12" s="7"/>
      <c r="G12" s="7"/>
      <c r="H12" s="13"/>
      <c r="I12" s="7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7"/>
      <c r="B13" s="7"/>
      <c r="C13" s="7"/>
      <c r="D13" s="7"/>
      <c r="E13" s="7"/>
      <c r="F13" s="7"/>
      <c r="G13" s="7"/>
      <c r="H13" s="13"/>
      <c r="I13" s="7"/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7"/>
      <c r="B14" s="14" t="s">
        <v>9</v>
      </c>
      <c r="C14" s="7"/>
      <c r="D14" s="7"/>
      <c r="E14" s="7"/>
      <c r="F14" s="7"/>
      <c r="G14" s="7"/>
      <c r="H14" s="13"/>
      <c r="I14" s="7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7"/>
      <c r="B15" s="8" t="s">
        <v>10</v>
      </c>
      <c r="C15" s="7"/>
      <c r="D15" s="7"/>
      <c r="E15" s="7"/>
      <c r="F15" s="7"/>
      <c r="G15" s="7"/>
      <c r="H15" s="13"/>
      <c r="I15" s="7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7"/>
      <c r="B16" s="8" t="s">
        <v>11</v>
      </c>
      <c r="C16" s="7"/>
      <c r="D16" s="7"/>
      <c r="E16" s="7"/>
      <c r="F16" s="7"/>
      <c r="G16" s="7"/>
      <c r="H16" s="13"/>
      <c r="I16" s="7"/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7"/>
      <c r="B17" s="8" t="s">
        <v>12</v>
      </c>
      <c r="C17" s="7"/>
      <c r="D17" s="7"/>
      <c r="E17" s="7"/>
      <c r="F17" s="7"/>
      <c r="G17" s="7"/>
      <c r="H17" s="13"/>
      <c r="I17" s="7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7"/>
      <c r="B18" s="7"/>
      <c r="C18" s="7"/>
      <c r="D18" s="7"/>
      <c r="E18" s="7"/>
      <c r="F18" s="7"/>
      <c r="G18" s="7"/>
      <c r="H18" s="13"/>
      <c r="I18" s="7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7"/>
      <c r="B19" s="14" t="s">
        <v>13</v>
      </c>
      <c r="C19" s="7"/>
      <c r="D19" s="7"/>
      <c r="E19" s="7"/>
      <c r="F19" s="7"/>
      <c r="G19" s="7"/>
      <c r="H19" s="13"/>
      <c r="I19" s="7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7"/>
      <c r="B20" s="8" t="s">
        <v>14</v>
      </c>
      <c r="C20" s="7"/>
      <c r="D20" s="7"/>
      <c r="E20" s="7"/>
      <c r="F20" s="7"/>
      <c r="G20" s="7"/>
      <c r="H20" s="13"/>
      <c r="I20" s="7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7"/>
      <c r="B21" s="8" t="s">
        <v>15</v>
      </c>
      <c r="C21" s="7"/>
      <c r="D21" s="7"/>
      <c r="E21" s="7"/>
      <c r="F21" s="7"/>
      <c r="G21" s="7"/>
      <c r="H21" s="13"/>
      <c r="I21" s="7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7"/>
      <c r="B22" s="8" t="s">
        <v>16</v>
      </c>
      <c r="C22" s="7"/>
      <c r="D22" s="7"/>
      <c r="E22" s="7"/>
      <c r="F22" s="7"/>
      <c r="G22" s="7"/>
      <c r="H22" s="13"/>
      <c r="I22" s="7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7"/>
      <c r="B23" s="7"/>
      <c r="C23" s="7"/>
      <c r="D23" s="7"/>
      <c r="E23" s="7"/>
      <c r="F23" s="7"/>
      <c r="G23" s="7"/>
      <c r="H23" s="13"/>
      <c r="I23" s="7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7"/>
      <c r="B24" s="14" t="s">
        <v>17</v>
      </c>
      <c r="C24" s="7"/>
      <c r="D24" s="7"/>
      <c r="E24" s="7"/>
      <c r="F24" s="7"/>
      <c r="G24" s="7"/>
      <c r="H24" s="13"/>
      <c r="I24" s="7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7"/>
      <c r="B25" s="8" t="s">
        <v>18</v>
      </c>
      <c r="C25" s="7"/>
      <c r="D25" s="7"/>
      <c r="E25" s="7"/>
      <c r="F25" s="7"/>
      <c r="G25" s="7"/>
      <c r="H25" s="13"/>
      <c r="I25" s="7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7"/>
      <c r="B26" s="8" t="s">
        <v>19</v>
      </c>
      <c r="C26" s="7"/>
      <c r="D26" s="7"/>
      <c r="E26" s="7"/>
      <c r="F26" s="7"/>
      <c r="G26" s="7"/>
      <c r="H26" s="13"/>
      <c r="I26" s="7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7"/>
      <c r="B27" s="8" t="s">
        <v>20</v>
      </c>
      <c r="C27" s="7"/>
      <c r="D27" s="7"/>
      <c r="E27" s="7"/>
      <c r="F27" s="7"/>
      <c r="G27" s="7"/>
      <c r="H27" s="13"/>
      <c r="I27" s="7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7"/>
      <c r="B28" s="7"/>
      <c r="C28" s="7"/>
      <c r="D28" s="7"/>
      <c r="E28" s="7"/>
      <c r="F28" s="7"/>
      <c r="G28" s="7"/>
      <c r="H28" s="13"/>
      <c r="I28" s="7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7"/>
      <c r="B29" s="8" t="s">
        <v>21</v>
      </c>
      <c r="C29" s="7"/>
      <c r="D29" s="7"/>
      <c r="E29" s="7"/>
      <c r="F29" s="7"/>
      <c r="G29" s="7"/>
      <c r="H29" s="13"/>
      <c r="I29" s="7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7"/>
      <c r="B30" s="8" t="s">
        <v>22</v>
      </c>
      <c r="C30" s="7"/>
      <c r="D30" s="7"/>
      <c r="E30" s="7"/>
      <c r="F30" s="7"/>
      <c r="G30" s="7"/>
      <c r="H30" s="13"/>
      <c r="I30" s="7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7"/>
      <c r="B31" s="8" t="s">
        <v>23</v>
      </c>
      <c r="C31" s="7"/>
      <c r="D31" s="7"/>
      <c r="E31" s="7"/>
      <c r="F31" s="7"/>
      <c r="G31" s="7"/>
      <c r="H31" s="13"/>
      <c r="I31" s="7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7"/>
      <c r="B32" s="8" t="s">
        <v>24</v>
      </c>
      <c r="C32" s="7"/>
      <c r="D32" s="7"/>
      <c r="E32" s="7"/>
      <c r="F32" s="7"/>
      <c r="G32" s="7"/>
      <c r="H32" s="13"/>
      <c r="I32" s="7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7"/>
      <c r="B33" s="7"/>
      <c r="C33" s="7"/>
      <c r="D33" s="7"/>
      <c r="E33" s="7"/>
      <c r="F33" s="7"/>
      <c r="G33" s="7"/>
      <c r="H33" s="13"/>
      <c r="I33" s="7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7"/>
      <c r="B34" s="56" t="s">
        <v>25</v>
      </c>
      <c r="C34" s="57"/>
      <c r="D34" s="57"/>
      <c r="E34" s="57"/>
      <c r="F34" s="57"/>
      <c r="G34" s="57"/>
      <c r="H34" s="13"/>
      <c r="I34" s="7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7"/>
      <c r="B35" s="63"/>
      <c r="C35" s="57"/>
      <c r="D35" s="57"/>
      <c r="E35" s="1"/>
      <c r="F35" s="1"/>
      <c r="G35" s="1"/>
      <c r="H35" s="13"/>
      <c r="I35" s="7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7"/>
      <c r="B36" s="15" t="s">
        <v>26</v>
      </c>
      <c r="C36" s="16" t="s">
        <v>27</v>
      </c>
      <c r="D36" s="64" t="s">
        <v>28</v>
      </c>
      <c r="E36" s="65"/>
      <c r="F36" s="65"/>
      <c r="G36" s="65"/>
      <c r="H36" s="17"/>
      <c r="I36" s="7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7"/>
      <c r="B37" s="18" t="s">
        <v>29</v>
      </c>
      <c r="C37" s="19" t="s">
        <v>30</v>
      </c>
      <c r="D37" s="58"/>
      <c r="E37" s="59"/>
      <c r="F37" s="59"/>
      <c r="G37" s="60"/>
      <c r="H37" s="17"/>
      <c r="I37" s="7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7"/>
      <c r="B38" s="20" t="s">
        <v>31</v>
      </c>
      <c r="C38" s="21" t="s">
        <v>32</v>
      </c>
      <c r="D38" s="58"/>
      <c r="E38" s="59"/>
      <c r="F38" s="59"/>
      <c r="G38" s="60"/>
      <c r="H38" s="17"/>
      <c r="I38" s="7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7"/>
      <c r="B39" s="22" t="s">
        <v>33</v>
      </c>
      <c r="C39" s="22" t="s">
        <v>34</v>
      </c>
      <c r="D39" s="62"/>
      <c r="E39" s="57"/>
      <c r="F39" s="57"/>
      <c r="G39" s="57"/>
      <c r="H39" s="9"/>
      <c r="I39" s="7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7"/>
      <c r="B40" s="1"/>
      <c r="C40" s="1"/>
      <c r="D40" s="1"/>
      <c r="E40" s="1"/>
      <c r="F40" s="1"/>
      <c r="G40" s="1"/>
      <c r="H40" s="24"/>
      <c r="I40" s="7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7"/>
      <c r="B41" s="56" t="s">
        <v>35</v>
      </c>
      <c r="C41" s="57"/>
      <c r="D41" s="57"/>
      <c r="E41" s="57"/>
      <c r="F41" s="57"/>
      <c r="G41" s="57"/>
      <c r="H41" s="25"/>
      <c r="I41" s="7"/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"/>
      <c r="B42" s="26"/>
      <c r="C42" s="7"/>
      <c r="D42" s="7"/>
      <c r="E42" s="7"/>
      <c r="F42" s="7"/>
      <c r="G42" s="7"/>
      <c r="H42" s="9"/>
      <c r="I42" s="7"/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7"/>
      <c r="B43" s="27" t="s">
        <v>36</v>
      </c>
      <c r="C43" s="7"/>
      <c r="D43" s="7"/>
      <c r="E43" s="7"/>
      <c r="F43" s="7"/>
      <c r="G43" s="7"/>
      <c r="H43" s="9"/>
      <c r="I43" s="7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1"/>
      <c r="B44" s="26" t="s">
        <v>37</v>
      </c>
      <c r="C44" s="7"/>
      <c r="D44" s="7"/>
      <c r="E44" s="7"/>
      <c r="F44" s="7"/>
      <c r="G44" s="7"/>
      <c r="H44" s="6"/>
      <c r="I44" s="1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7"/>
      <c r="B45" s="26" t="s">
        <v>38</v>
      </c>
      <c r="C45" s="7"/>
      <c r="D45" s="7"/>
      <c r="E45" s="7"/>
      <c r="F45" s="7"/>
      <c r="G45" s="7"/>
      <c r="H45" s="25"/>
      <c r="I45" s="7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7"/>
      <c r="B46" s="26" t="s">
        <v>39</v>
      </c>
      <c r="C46" s="7"/>
      <c r="D46" s="7"/>
      <c r="E46" s="7"/>
      <c r="F46" s="7"/>
      <c r="G46" s="7"/>
      <c r="H46" s="4"/>
      <c r="I46" s="7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7"/>
      <c r="B47" s="3"/>
      <c r="C47" s="7"/>
      <c r="D47" s="7"/>
      <c r="E47" s="7"/>
      <c r="F47" s="7"/>
      <c r="G47" s="7"/>
      <c r="H47" s="25"/>
      <c r="I47" s="7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7"/>
      <c r="B48" s="14" t="s">
        <v>40</v>
      </c>
      <c r="C48" s="7"/>
      <c r="D48" s="7"/>
      <c r="E48" s="7"/>
      <c r="F48" s="7"/>
      <c r="G48" s="7"/>
      <c r="H48" s="28"/>
      <c r="I48" s="7"/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7"/>
      <c r="B49" s="8" t="s">
        <v>41</v>
      </c>
      <c r="C49" s="7"/>
      <c r="D49" s="7"/>
      <c r="E49" s="7"/>
      <c r="F49" s="7"/>
      <c r="G49" s="7"/>
      <c r="H49" s="28"/>
      <c r="I49" s="7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7"/>
      <c r="B50" s="8" t="s">
        <v>42</v>
      </c>
      <c r="C50" s="7"/>
      <c r="D50" s="7"/>
      <c r="E50" s="7"/>
      <c r="F50" s="7"/>
      <c r="G50" s="7"/>
      <c r="H50" s="28"/>
      <c r="I50" s="7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7"/>
      <c r="B51" s="8" t="s">
        <v>43</v>
      </c>
      <c r="C51" s="7"/>
      <c r="D51" s="7"/>
      <c r="E51" s="7"/>
      <c r="F51" s="7"/>
      <c r="G51" s="7"/>
      <c r="H51" s="28"/>
      <c r="I51" s="7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7"/>
      <c r="B52" s="7"/>
      <c r="C52" s="7"/>
      <c r="D52" s="7"/>
      <c r="E52" s="7"/>
      <c r="F52" s="7"/>
      <c r="G52" s="7"/>
      <c r="H52" s="28"/>
      <c r="I52" s="7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7"/>
      <c r="B53" s="14" t="s">
        <v>44</v>
      </c>
      <c r="C53" s="7"/>
      <c r="D53" s="7"/>
      <c r="E53" s="7"/>
      <c r="F53" s="7"/>
      <c r="G53" s="7"/>
      <c r="H53" s="28"/>
      <c r="I53" s="7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7"/>
      <c r="B54" s="8" t="s">
        <v>45</v>
      </c>
      <c r="C54" s="7"/>
      <c r="D54" s="7"/>
      <c r="E54" s="7"/>
      <c r="F54" s="7"/>
      <c r="G54" s="7"/>
      <c r="H54" s="28"/>
      <c r="I54" s="7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7"/>
      <c r="B55" s="8" t="s">
        <v>46</v>
      </c>
      <c r="C55" s="7"/>
      <c r="D55" s="7"/>
      <c r="E55" s="7"/>
      <c r="F55" s="7"/>
      <c r="G55" s="7"/>
      <c r="H55" s="28"/>
      <c r="I55" s="7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7"/>
      <c r="B56" s="7"/>
      <c r="C56" s="7"/>
      <c r="D56" s="7"/>
      <c r="E56" s="7"/>
      <c r="F56" s="7"/>
      <c r="G56" s="7"/>
      <c r="H56" s="28"/>
      <c r="I56" s="7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7"/>
      <c r="B57" s="5" t="s">
        <v>47</v>
      </c>
      <c r="C57" s="5"/>
      <c r="D57" s="5"/>
      <c r="E57" s="5"/>
      <c r="F57" s="5"/>
      <c r="G57" s="5"/>
      <c r="H57" s="25"/>
      <c r="I57" s="7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7"/>
      <c r="B58" s="29" t="s">
        <v>48</v>
      </c>
      <c r="C58" s="30"/>
      <c r="D58" s="30"/>
      <c r="E58" s="30"/>
      <c r="F58" s="30"/>
      <c r="G58" s="30"/>
      <c r="H58" s="9"/>
      <c r="I58" s="7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1"/>
      <c r="B59" s="29" t="s">
        <v>49</v>
      </c>
      <c r="C59" s="3"/>
      <c r="D59" s="3"/>
      <c r="E59" s="3"/>
      <c r="F59" s="3"/>
      <c r="G59" s="3"/>
      <c r="H59" s="6"/>
      <c r="I59" s="1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7"/>
      <c r="B60" s="29" t="s">
        <v>50</v>
      </c>
      <c r="C60" s="3"/>
      <c r="D60" s="3"/>
      <c r="E60" s="3"/>
      <c r="F60" s="3"/>
      <c r="G60" s="3"/>
      <c r="H60" s="9"/>
      <c r="I60" s="7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7"/>
      <c r="B61" s="26" t="s">
        <v>51</v>
      </c>
      <c r="C61" s="3"/>
      <c r="D61" s="3"/>
      <c r="E61" s="3"/>
      <c r="F61" s="3"/>
      <c r="G61" s="3"/>
      <c r="H61" s="31"/>
      <c r="I61" s="7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7"/>
      <c r="B62" s="26" t="s">
        <v>52</v>
      </c>
      <c r="C62" s="3"/>
      <c r="D62" s="3"/>
      <c r="E62" s="3"/>
      <c r="F62" s="3"/>
      <c r="G62" s="3"/>
      <c r="H62" s="9"/>
      <c r="I62" s="7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7"/>
      <c r="B63" s="3"/>
      <c r="C63" s="3"/>
      <c r="D63" s="3"/>
      <c r="E63" s="3"/>
      <c r="F63" s="3"/>
      <c r="G63" s="3"/>
      <c r="H63" s="6"/>
      <c r="I63" s="7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7"/>
      <c r="B64" s="56" t="s">
        <v>53</v>
      </c>
      <c r="C64" s="57"/>
      <c r="D64" s="57"/>
      <c r="E64" s="57"/>
      <c r="F64" s="57"/>
      <c r="G64" s="57"/>
      <c r="H64" s="2"/>
      <c r="I64" s="7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7"/>
      <c r="B65" s="32" t="s">
        <v>54</v>
      </c>
      <c r="C65" s="3"/>
      <c r="D65" s="3"/>
      <c r="E65" s="3"/>
      <c r="F65" s="3"/>
      <c r="G65" s="3"/>
      <c r="H65" s="4"/>
      <c r="I65" s="7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7"/>
      <c r="B66" s="26" t="s">
        <v>55</v>
      </c>
      <c r="C66" s="3"/>
      <c r="D66" s="3"/>
      <c r="E66" s="3"/>
      <c r="F66" s="3"/>
      <c r="G66" s="3"/>
      <c r="H66" s="25"/>
      <c r="I66" s="7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7"/>
      <c r="B67" s="26" t="s">
        <v>56</v>
      </c>
      <c r="C67" s="3"/>
      <c r="D67" s="3"/>
      <c r="E67" s="3"/>
      <c r="F67" s="3"/>
      <c r="G67" s="3"/>
      <c r="H67" s="25"/>
      <c r="I67" s="7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7"/>
      <c r="B68" s="8" t="s">
        <v>57</v>
      </c>
      <c r="C68" s="3"/>
      <c r="D68" s="3"/>
      <c r="E68" s="3"/>
      <c r="F68" s="3"/>
      <c r="G68" s="3"/>
      <c r="H68" s="23"/>
      <c r="I68" s="7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7"/>
      <c r="B69" s="8" t="s">
        <v>58</v>
      </c>
      <c r="C69" s="3"/>
      <c r="D69" s="3"/>
      <c r="E69" s="3"/>
      <c r="F69" s="3"/>
      <c r="G69" s="3"/>
      <c r="H69" s="2"/>
      <c r="I69" s="7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7"/>
      <c r="B70" s="3"/>
      <c r="C70" s="3"/>
      <c r="D70" s="3"/>
      <c r="E70" s="3"/>
      <c r="F70" s="3"/>
      <c r="G70" s="3"/>
      <c r="H70" s="9"/>
      <c r="I70" s="7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7"/>
      <c r="B71" s="3"/>
      <c r="C71" s="3"/>
      <c r="D71" s="3"/>
      <c r="E71" s="3"/>
      <c r="F71" s="3"/>
      <c r="G71" s="3"/>
      <c r="H71" s="9"/>
      <c r="I71" s="7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7"/>
      <c r="B72" s="3"/>
      <c r="C72" s="3"/>
      <c r="D72" s="3"/>
      <c r="E72" s="3"/>
      <c r="F72" s="3"/>
      <c r="G72" s="3"/>
      <c r="H72" s="9"/>
      <c r="I72" s="7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7"/>
      <c r="B73" s="3"/>
      <c r="C73" s="3"/>
      <c r="D73" s="3"/>
      <c r="E73" s="3"/>
      <c r="F73" s="3"/>
      <c r="G73" s="3"/>
      <c r="H73" s="9"/>
      <c r="I73" s="7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7"/>
      <c r="B74" s="3"/>
      <c r="C74" s="3"/>
      <c r="D74" s="3"/>
      <c r="E74" s="3"/>
      <c r="F74" s="3"/>
      <c r="G74" s="3"/>
      <c r="H74" s="9"/>
      <c r="I74" s="7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7"/>
      <c r="B75" s="3"/>
      <c r="C75" s="3"/>
      <c r="D75" s="3"/>
      <c r="E75" s="3"/>
      <c r="F75" s="3"/>
      <c r="G75" s="3"/>
      <c r="H75" s="9"/>
      <c r="I75" s="7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7"/>
      <c r="B76" s="3"/>
      <c r="C76" s="3"/>
      <c r="D76" s="3"/>
      <c r="E76" s="3"/>
      <c r="F76" s="3"/>
      <c r="G76" s="3"/>
      <c r="H76" s="9"/>
      <c r="I76" s="7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7"/>
      <c r="B77" s="3"/>
      <c r="C77" s="3"/>
      <c r="D77" s="3"/>
      <c r="E77" s="3"/>
      <c r="F77" s="3"/>
      <c r="G77" s="3"/>
      <c r="H77" s="9"/>
      <c r="I77" s="7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7"/>
      <c r="B78" s="7"/>
      <c r="C78" s="7"/>
      <c r="D78" s="7"/>
      <c r="E78" s="7"/>
      <c r="F78" s="7"/>
      <c r="G78" s="7"/>
      <c r="H78" s="9"/>
      <c r="I78" s="7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7"/>
      <c r="B79" s="7"/>
      <c r="C79" s="7"/>
      <c r="D79" s="7"/>
      <c r="E79" s="7"/>
      <c r="F79" s="7"/>
      <c r="G79" s="7"/>
      <c r="H79" s="9"/>
      <c r="I79" s="7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7"/>
      <c r="B80" s="7"/>
      <c r="C80" s="7"/>
      <c r="D80" s="7"/>
      <c r="E80" s="7"/>
      <c r="F80" s="7"/>
      <c r="G80" s="7"/>
      <c r="H80" s="9"/>
      <c r="I80" s="7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7"/>
      <c r="B81" s="7"/>
      <c r="C81" s="7"/>
      <c r="D81" s="7"/>
      <c r="E81" s="7"/>
      <c r="F81" s="7"/>
      <c r="G81" s="7"/>
      <c r="H81" s="9"/>
      <c r="I81" s="7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7"/>
      <c r="B82" s="7"/>
      <c r="C82" s="7"/>
      <c r="D82" s="7"/>
      <c r="E82" s="7"/>
      <c r="F82" s="7"/>
      <c r="G82" s="7"/>
      <c r="H82" s="9"/>
      <c r="I82" s="7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7"/>
      <c r="B83" s="7"/>
      <c r="C83" s="7"/>
      <c r="D83" s="7"/>
      <c r="E83" s="7"/>
      <c r="F83" s="7"/>
      <c r="G83" s="7"/>
      <c r="H83" s="9"/>
      <c r="I83" s="7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7"/>
      <c r="B84" s="7"/>
      <c r="C84" s="7"/>
      <c r="D84" s="7"/>
      <c r="E84" s="7"/>
      <c r="F84" s="7"/>
      <c r="G84" s="7"/>
      <c r="H84" s="9"/>
      <c r="I84" s="7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7"/>
      <c r="B85" s="7"/>
      <c r="C85" s="7"/>
      <c r="D85" s="7"/>
      <c r="E85" s="7"/>
      <c r="F85" s="7"/>
      <c r="G85" s="7"/>
      <c r="H85" s="9"/>
      <c r="I85" s="7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7"/>
      <c r="B86" s="7"/>
      <c r="C86" s="7"/>
      <c r="D86" s="7"/>
      <c r="E86" s="7"/>
      <c r="F86" s="7"/>
      <c r="G86" s="7"/>
      <c r="H86" s="9"/>
      <c r="I86" s="7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7"/>
      <c r="B87" s="7"/>
      <c r="C87" s="7"/>
      <c r="D87" s="7"/>
      <c r="E87" s="7"/>
      <c r="F87" s="7"/>
      <c r="G87" s="7"/>
      <c r="H87" s="9"/>
      <c r="I87" s="7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7"/>
      <c r="B88" s="7"/>
      <c r="C88" s="7"/>
      <c r="D88" s="7"/>
      <c r="E88" s="7"/>
      <c r="F88" s="7"/>
      <c r="G88" s="7"/>
      <c r="H88" s="9"/>
      <c r="I88" s="7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7"/>
      <c r="B89" s="7"/>
      <c r="C89" s="7"/>
      <c r="D89" s="7"/>
      <c r="E89" s="7"/>
      <c r="F89" s="7"/>
      <c r="G89" s="7"/>
      <c r="H89" s="9"/>
      <c r="I89" s="7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7"/>
      <c r="B90" s="7"/>
      <c r="C90" s="7"/>
      <c r="D90" s="7"/>
      <c r="E90" s="7"/>
      <c r="F90" s="7"/>
      <c r="G90" s="7"/>
      <c r="H90" s="9"/>
      <c r="I90" s="7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7"/>
      <c r="B91" s="7"/>
      <c r="C91" s="7"/>
      <c r="D91" s="7"/>
      <c r="E91" s="7"/>
      <c r="F91" s="7"/>
      <c r="G91" s="7"/>
      <c r="H91" s="9"/>
      <c r="I91" s="7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7"/>
      <c r="B92" s="7"/>
      <c r="C92" s="7"/>
      <c r="D92" s="7"/>
      <c r="E92" s="7"/>
      <c r="F92" s="7"/>
      <c r="G92" s="7"/>
      <c r="H92" s="9"/>
      <c r="I92" s="7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7"/>
      <c r="B93" s="7"/>
      <c r="C93" s="7"/>
      <c r="D93" s="7"/>
      <c r="E93" s="7"/>
      <c r="F93" s="7"/>
      <c r="G93" s="7"/>
      <c r="H93" s="9"/>
      <c r="I93" s="7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7"/>
      <c r="B94" s="7"/>
      <c r="C94" s="7"/>
      <c r="D94" s="7"/>
      <c r="E94" s="7"/>
      <c r="F94" s="7"/>
      <c r="G94" s="7"/>
      <c r="H94" s="9"/>
      <c r="I94" s="7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7"/>
      <c r="B95" s="7"/>
      <c r="C95" s="7"/>
      <c r="D95" s="7"/>
      <c r="E95" s="7"/>
      <c r="F95" s="7"/>
      <c r="G95" s="7"/>
      <c r="H95" s="9"/>
      <c r="I95" s="7"/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7"/>
      <c r="B96" s="7"/>
      <c r="C96" s="7"/>
      <c r="D96" s="7"/>
      <c r="E96" s="7"/>
      <c r="F96" s="7"/>
      <c r="G96" s="7"/>
      <c r="H96" s="9"/>
      <c r="I96" s="7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7"/>
      <c r="B97" s="7"/>
      <c r="C97" s="7"/>
      <c r="D97" s="7"/>
      <c r="E97" s="7"/>
      <c r="F97" s="7"/>
      <c r="G97" s="7"/>
      <c r="H97" s="9"/>
      <c r="I97" s="7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</sheetData>
  <mergeCells count="10">
    <mergeCell ref="B64:G64"/>
    <mergeCell ref="D37:G37"/>
    <mergeCell ref="D38:G38"/>
    <mergeCell ref="B2:G2"/>
    <mergeCell ref="B4:G4"/>
    <mergeCell ref="B41:G41"/>
    <mergeCell ref="D39:G39"/>
    <mergeCell ref="B35:D35"/>
    <mergeCell ref="B34:G34"/>
    <mergeCell ref="D36:G3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9"/>
  <sheetViews>
    <sheetView tabSelected="1" workbookViewId="0">
      <pane ySplit="9" topLeftCell="A93" activePane="bottomLeft" state="frozen"/>
      <selection pane="bottomLeft" activeCell="E97" sqref="E97"/>
    </sheetView>
  </sheetViews>
  <sheetFormatPr defaultColWidth="12.6640625" defaultRowHeight="15.75" customHeight="1"/>
  <cols>
    <col min="1" max="1" width="4" style="41" customWidth="1"/>
    <col min="2" max="2" width="5.6640625" style="41" customWidth="1"/>
    <col min="3" max="3" width="14" style="41" customWidth="1"/>
    <col min="4" max="4" width="17" style="41" customWidth="1"/>
    <col min="5" max="5" width="55.77734375" style="41" customWidth="1"/>
    <col min="6" max="6" width="75.6640625" style="41" customWidth="1"/>
    <col min="7" max="7" width="71.21875" style="41" customWidth="1"/>
    <col min="8" max="16384" width="12.6640625" style="41"/>
  </cols>
  <sheetData>
    <row r="1" spans="1:26" ht="17.399999999999999">
      <c r="A1" s="33"/>
      <c r="B1" s="34"/>
      <c r="C1" s="35"/>
      <c r="D1" s="36" t="s">
        <v>59</v>
      </c>
      <c r="E1" s="36" t="s">
        <v>60</v>
      </c>
      <c r="F1" s="37" t="s">
        <v>61</v>
      </c>
      <c r="G1" s="38"/>
      <c r="H1" s="39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7.399999999999999">
      <c r="A2" s="42"/>
      <c r="B2" s="70" t="s">
        <v>62</v>
      </c>
      <c r="C2" s="71"/>
      <c r="D2" s="43">
        <f t="shared" ref="D2:E2" si="0">SUM(D3:D7)</f>
        <v>100</v>
      </c>
      <c r="E2" s="44">
        <f t="shared" si="0"/>
        <v>1</v>
      </c>
      <c r="F2" s="68" t="s">
        <v>63</v>
      </c>
      <c r="G2" s="38"/>
      <c r="H2" s="39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7.399999999999999">
      <c r="A3" s="42"/>
      <c r="B3" s="70" t="s">
        <v>64</v>
      </c>
      <c r="C3" s="71"/>
      <c r="D3" s="43">
        <f>COUNTIF($H$10:$H$109,"Pass")</f>
        <v>100</v>
      </c>
      <c r="E3" s="44">
        <f t="shared" ref="E3:E7" si="1">D3/$D$2</f>
        <v>1</v>
      </c>
      <c r="F3" s="69"/>
      <c r="G3" s="38"/>
      <c r="H3" s="39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7.399999999999999">
      <c r="A4" s="42"/>
      <c r="B4" s="70" t="s">
        <v>65</v>
      </c>
      <c r="C4" s="71"/>
      <c r="D4" s="43">
        <f>COUNTIF($H$11:$H$109,"Fail")</f>
        <v>0</v>
      </c>
      <c r="E4" s="44">
        <f t="shared" si="1"/>
        <v>0</v>
      </c>
      <c r="F4" s="45" t="s">
        <v>66</v>
      </c>
      <c r="G4" s="38"/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7.399999999999999">
      <c r="A5" s="42"/>
      <c r="B5" s="70" t="s">
        <v>67</v>
      </c>
      <c r="C5" s="71"/>
      <c r="D5" s="43">
        <f>COUNTIF($H$11:$H$109,"Blocked")</f>
        <v>0</v>
      </c>
      <c r="E5" s="44">
        <f t="shared" si="1"/>
        <v>0</v>
      </c>
      <c r="F5" s="45" t="s">
        <v>68</v>
      </c>
      <c r="G5" s="38"/>
      <c r="H5" s="39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7.399999999999999">
      <c r="A6" s="46"/>
      <c r="B6" s="70" t="s">
        <v>403</v>
      </c>
      <c r="C6" s="71"/>
      <c r="D6" s="43">
        <f>COUNTIF($H$11:$H$109,"Not Test")</f>
        <v>0</v>
      </c>
      <c r="E6" s="44">
        <f t="shared" si="1"/>
        <v>0</v>
      </c>
      <c r="F6" s="45" t="s">
        <v>69</v>
      </c>
      <c r="G6" s="35"/>
      <c r="H6" s="35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7.399999999999999">
      <c r="A7" s="47"/>
      <c r="B7" s="66" t="s">
        <v>70</v>
      </c>
      <c r="C7" s="67"/>
      <c r="D7" s="43">
        <f>COUNTIF($H$11:$H$109,"N/A")</f>
        <v>0</v>
      </c>
      <c r="E7" s="44">
        <f t="shared" si="1"/>
        <v>0</v>
      </c>
      <c r="F7" s="45" t="s">
        <v>71</v>
      </c>
      <c r="G7" s="35"/>
      <c r="H7" s="35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7.5" customHeight="1">
      <c r="A8" s="47"/>
      <c r="B8" s="35"/>
      <c r="C8" s="35"/>
      <c r="D8" s="35"/>
      <c r="E8" s="35"/>
      <c r="F8" s="35"/>
      <c r="G8" s="35"/>
      <c r="H8" s="35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7.399999999999999">
      <c r="A9" s="47"/>
      <c r="B9" s="36" t="s">
        <v>72</v>
      </c>
      <c r="C9" s="36" t="s">
        <v>73</v>
      </c>
      <c r="D9" s="36" t="s">
        <v>74</v>
      </c>
      <c r="E9" s="36" t="s">
        <v>75</v>
      </c>
      <c r="F9" s="36" t="s">
        <v>76</v>
      </c>
      <c r="G9" s="36" t="s">
        <v>77</v>
      </c>
      <c r="H9" s="36" t="s">
        <v>78</v>
      </c>
      <c r="I9" s="36" t="s">
        <v>79</v>
      </c>
      <c r="J9" s="36" t="s">
        <v>80</v>
      </c>
      <c r="K9" s="36" t="s">
        <v>81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7.399999999999999">
      <c r="A10" s="48"/>
      <c r="B10" s="49">
        <v>1</v>
      </c>
      <c r="C10" s="49" t="s">
        <v>82</v>
      </c>
      <c r="D10" s="49" t="s">
        <v>83</v>
      </c>
      <c r="E10" s="50" t="s">
        <v>84</v>
      </c>
      <c r="F10" s="50" t="s">
        <v>85</v>
      </c>
      <c r="G10" s="50" t="s">
        <v>86</v>
      </c>
      <c r="H10" s="51" t="s">
        <v>64</v>
      </c>
      <c r="I10" s="52"/>
      <c r="J10" s="51"/>
      <c r="K10" s="52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7.399999999999999">
      <c r="A11" s="48"/>
      <c r="B11" s="49">
        <v>2</v>
      </c>
      <c r="C11" s="49" t="s">
        <v>82</v>
      </c>
      <c r="D11" s="49" t="s">
        <v>83</v>
      </c>
      <c r="E11" s="50" t="s">
        <v>87</v>
      </c>
      <c r="F11" s="50" t="s">
        <v>88</v>
      </c>
      <c r="G11" s="50" t="s">
        <v>89</v>
      </c>
      <c r="H11" s="51" t="s">
        <v>64</v>
      </c>
      <c r="I11" s="52"/>
      <c r="J11" s="53"/>
      <c r="K11" s="52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7.399999999999999">
      <c r="A12" s="48"/>
      <c r="B12" s="49">
        <v>3</v>
      </c>
      <c r="C12" s="49" t="s">
        <v>82</v>
      </c>
      <c r="D12" s="49" t="s">
        <v>83</v>
      </c>
      <c r="E12" s="50" t="s">
        <v>90</v>
      </c>
      <c r="F12" s="50" t="s">
        <v>91</v>
      </c>
      <c r="G12" s="50" t="s">
        <v>92</v>
      </c>
      <c r="H12" s="51" t="s">
        <v>64</v>
      </c>
      <c r="I12" s="52"/>
      <c r="J12" s="53"/>
      <c r="K12" s="52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7.399999999999999">
      <c r="A13" s="48"/>
      <c r="B13" s="49">
        <v>4</v>
      </c>
      <c r="C13" s="49" t="s">
        <v>82</v>
      </c>
      <c r="D13" s="49" t="s">
        <v>93</v>
      </c>
      <c r="E13" s="50" t="s">
        <v>94</v>
      </c>
      <c r="F13" s="50" t="s">
        <v>95</v>
      </c>
      <c r="G13" s="54" t="s">
        <v>96</v>
      </c>
      <c r="H13" s="51" t="s">
        <v>64</v>
      </c>
      <c r="I13" s="52"/>
      <c r="J13" s="53"/>
      <c r="K13" s="52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7.399999999999999">
      <c r="A14" s="48"/>
      <c r="B14" s="49">
        <v>5</v>
      </c>
      <c r="C14" s="49" t="s">
        <v>82</v>
      </c>
      <c r="D14" s="49" t="s">
        <v>93</v>
      </c>
      <c r="E14" s="50" t="s">
        <v>97</v>
      </c>
      <c r="F14" s="50" t="s">
        <v>98</v>
      </c>
      <c r="G14" s="50" t="s">
        <v>99</v>
      </c>
      <c r="H14" s="51" t="s">
        <v>64</v>
      </c>
      <c r="I14" s="52"/>
      <c r="J14" s="53"/>
      <c r="K14" s="52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7.399999999999999">
      <c r="A15" s="48"/>
      <c r="B15" s="49">
        <v>6</v>
      </c>
      <c r="C15" s="49" t="s">
        <v>82</v>
      </c>
      <c r="D15" s="49" t="s">
        <v>100</v>
      </c>
      <c r="E15" s="50" t="s">
        <v>101</v>
      </c>
      <c r="F15" s="50" t="s">
        <v>102</v>
      </c>
      <c r="G15" s="50" t="s">
        <v>103</v>
      </c>
      <c r="H15" s="51" t="s">
        <v>64</v>
      </c>
      <c r="I15" s="52"/>
      <c r="J15" s="53"/>
      <c r="K15" s="52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7.399999999999999">
      <c r="A16" s="48"/>
      <c r="B16" s="49">
        <v>7</v>
      </c>
      <c r="C16" s="49" t="s">
        <v>82</v>
      </c>
      <c r="D16" s="49" t="s">
        <v>100</v>
      </c>
      <c r="E16" s="50" t="s">
        <v>104</v>
      </c>
      <c r="F16" s="50" t="s">
        <v>105</v>
      </c>
      <c r="G16" s="50" t="s">
        <v>106</v>
      </c>
      <c r="H16" s="51" t="s">
        <v>64</v>
      </c>
      <c r="I16" s="52"/>
      <c r="J16" s="53"/>
      <c r="K16" s="52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7.399999999999999">
      <c r="A17" s="48"/>
      <c r="B17" s="49">
        <v>8</v>
      </c>
      <c r="C17" s="49" t="s">
        <v>82</v>
      </c>
      <c r="D17" s="49" t="s">
        <v>100</v>
      </c>
      <c r="E17" s="50" t="s">
        <v>107</v>
      </c>
      <c r="F17" s="50" t="s">
        <v>108</v>
      </c>
      <c r="G17" s="50" t="s">
        <v>109</v>
      </c>
      <c r="H17" s="51" t="s">
        <v>64</v>
      </c>
      <c r="I17" s="52"/>
      <c r="J17" s="53"/>
      <c r="K17" s="52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7.399999999999999">
      <c r="A18" s="48"/>
      <c r="B18" s="49">
        <v>9</v>
      </c>
      <c r="C18" s="49" t="s">
        <v>82</v>
      </c>
      <c r="D18" s="49" t="s">
        <v>100</v>
      </c>
      <c r="E18" s="50" t="s">
        <v>110</v>
      </c>
      <c r="F18" s="50" t="s">
        <v>111</v>
      </c>
      <c r="G18" s="50" t="s">
        <v>112</v>
      </c>
      <c r="H18" s="51" t="s">
        <v>64</v>
      </c>
      <c r="I18" s="52"/>
      <c r="J18" s="53"/>
      <c r="K18" s="52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7.399999999999999">
      <c r="A19" s="48"/>
      <c r="B19" s="49">
        <v>10</v>
      </c>
      <c r="C19" s="49" t="s">
        <v>82</v>
      </c>
      <c r="D19" s="49" t="s">
        <v>100</v>
      </c>
      <c r="E19" s="50" t="s">
        <v>113</v>
      </c>
      <c r="F19" s="50" t="s">
        <v>114</v>
      </c>
      <c r="G19" s="50" t="s">
        <v>115</v>
      </c>
      <c r="H19" s="51" t="s">
        <v>64</v>
      </c>
      <c r="I19" s="52"/>
      <c r="J19" s="53"/>
      <c r="K19" s="52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7.399999999999999">
      <c r="A20" s="48"/>
      <c r="B20" s="49">
        <v>11</v>
      </c>
      <c r="C20" s="49" t="s">
        <v>82</v>
      </c>
      <c r="D20" s="49" t="s">
        <v>116</v>
      </c>
      <c r="E20" s="50" t="s">
        <v>117</v>
      </c>
      <c r="F20" s="50" t="s">
        <v>118</v>
      </c>
      <c r="G20" s="50" t="s">
        <v>119</v>
      </c>
      <c r="H20" s="51" t="s">
        <v>64</v>
      </c>
      <c r="I20" s="52"/>
      <c r="J20" s="53"/>
      <c r="K20" s="52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7.399999999999999">
      <c r="A21" s="48"/>
      <c r="B21" s="49">
        <v>12</v>
      </c>
      <c r="C21" s="49" t="s">
        <v>82</v>
      </c>
      <c r="D21" s="49" t="s">
        <v>116</v>
      </c>
      <c r="E21" s="50" t="s">
        <v>120</v>
      </c>
      <c r="F21" s="50" t="s">
        <v>121</v>
      </c>
      <c r="G21" s="50" t="s">
        <v>122</v>
      </c>
      <c r="H21" s="51" t="s">
        <v>64</v>
      </c>
      <c r="I21" s="52"/>
      <c r="J21" s="53"/>
      <c r="K21" s="52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7.399999999999999">
      <c r="A22" s="48"/>
      <c r="B22" s="49">
        <v>13</v>
      </c>
      <c r="C22" s="49" t="s">
        <v>82</v>
      </c>
      <c r="D22" s="49" t="s">
        <v>123</v>
      </c>
      <c r="E22" s="50" t="s">
        <v>124</v>
      </c>
      <c r="F22" s="50" t="s">
        <v>125</v>
      </c>
      <c r="G22" s="50" t="s">
        <v>126</v>
      </c>
      <c r="H22" s="51" t="s">
        <v>64</v>
      </c>
      <c r="I22" s="52"/>
      <c r="J22" s="53"/>
      <c r="K22" s="52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7.399999999999999">
      <c r="A23" s="48"/>
      <c r="B23" s="49">
        <v>14</v>
      </c>
      <c r="C23" s="49" t="s">
        <v>82</v>
      </c>
      <c r="D23" s="49" t="s">
        <v>123</v>
      </c>
      <c r="E23" s="50" t="s">
        <v>127</v>
      </c>
      <c r="F23" s="50" t="s">
        <v>128</v>
      </c>
      <c r="G23" s="50" t="s">
        <v>129</v>
      </c>
      <c r="H23" s="51" t="s">
        <v>64</v>
      </c>
      <c r="I23" s="52"/>
      <c r="J23" s="53"/>
      <c r="K23" s="52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7.399999999999999">
      <c r="A24" s="48"/>
      <c r="B24" s="49">
        <v>15</v>
      </c>
      <c r="C24" s="49" t="s">
        <v>82</v>
      </c>
      <c r="D24" s="49" t="s">
        <v>123</v>
      </c>
      <c r="E24" s="50" t="s">
        <v>130</v>
      </c>
      <c r="F24" s="50" t="s">
        <v>131</v>
      </c>
      <c r="G24" s="50" t="s">
        <v>132</v>
      </c>
      <c r="H24" s="51" t="s">
        <v>64</v>
      </c>
      <c r="I24" s="52"/>
      <c r="J24" s="53"/>
      <c r="K24" s="52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7.399999999999999">
      <c r="A25" s="48"/>
      <c r="B25" s="49">
        <v>16</v>
      </c>
      <c r="C25" s="49" t="s">
        <v>82</v>
      </c>
      <c r="D25" s="49" t="s">
        <v>133</v>
      </c>
      <c r="E25" s="50" t="s">
        <v>134</v>
      </c>
      <c r="F25" s="50" t="s">
        <v>135</v>
      </c>
      <c r="G25" s="50" t="s">
        <v>136</v>
      </c>
      <c r="H25" s="51" t="s">
        <v>64</v>
      </c>
      <c r="I25" s="52"/>
      <c r="J25" s="53"/>
      <c r="K25" s="52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7.399999999999999">
      <c r="A26" s="48"/>
      <c r="B26" s="49">
        <v>17</v>
      </c>
      <c r="C26" s="49" t="s">
        <v>82</v>
      </c>
      <c r="D26" s="49" t="s">
        <v>133</v>
      </c>
      <c r="E26" s="50" t="s">
        <v>137</v>
      </c>
      <c r="F26" s="50" t="s">
        <v>138</v>
      </c>
      <c r="G26" s="50" t="s">
        <v>139</v>
      </c>
      <c r="H26" s="51" t="s">
        <v>64</v>
      </c>
      <c r="I26" s="52"/>
      <c r="J26" s="53"/>
      <c r="K26" s="52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7.399999999999999">
      <c r="A27" s="48"/>
      <c r="B27" s="49">
        <v>18</v>
      </c>
      <c r="C27" s="49" t="s">
        <v>82</v>
      </c>
      <c r="D27" s="49" t="s">
        <v>133</v>
      </c>
      <c r="E27" s="50" t="s">
        <v>140</v>
      </c>
      <c r="F27" s="50" t="s">
        <v>141</v>
      </c>
      <c r="G27" s="50" t="s">
        <v>142</v>
      </c>
      <c r="H27" s="51" t="s">
        <v>64</v>
      </c>
      <c r="I27" s="52"/>
      <c r="J27" s="53"/>
      <c r="K27" s="52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7.399999999999999">
      <c r="A28" s="48"/>
      <c r="B28" s="49">
        <v>19</v>
      </c>
      <c r="C28" s="49" t="s">
        <v>143</v>
      </c>
      <c r="D28" s="49" t="s">
        <v>144</v>
      </c>
      <c r="E28" s="50" t="s">
        <v>145</v>
      </c>
      <c r="F28" s="50" t="s">
        <v>146</v>
      </c>
      <c r="G28" s="54" t="s">
        <v>147</v>
      </c>
      <c r="H28" s="51" t="s">
        <v>64</v>
      </c>
      <c r="I28" s="52"/>
      <c r="J28" s="53"/>
      <c r="K28" s="52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7.399999999999999">
      <c r="A29" s="48"/>
      <c r="B29" s="49">
        <v>20</v>
      </c>
      <c r="C29" s="49" t="s">
        <v>143</v>
      </c>
      <c r="D29" s="49" t="s">
        <v>144</v>
      </c>
      <c r="E29" s="50" t="s">
        <v>148</v>
      </c>
      <c r="F29" s="50" t="s">
        <v>149</v>
      </c>
      <c r="G29" s="50" t="s">
        <v>150</v>
      </c>
      <c r="H29" s="51" t="s">
        <v>64</v>
      </c>
      <c r="I29" s="52"/>
      <c r="J29" s="53"/>
      <c r="K29" s="52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7.399999999999999">
      <c r="A30" s="48"/>
      <c r="B30" s="49">
        <v>21</v>
      </c>
      <c r="C30" s="49" t="s">
        <v>143</v>
      </c>
      <c r="D30" s="49" t="s">
        <v>144</v>
      </c>
      <c r="E30" s="50" t="s">
        <v>151</v>
      </c>
      <c r="F30" s="50" t="s">
        <v>152</v>
      </c>
      <c r="G30" s="50" t="s">
        <v>153</v>
      </c>
      <c r="H30" s="51" t="s">
        <v>64</v>
      </c>
      <c r="I30" s="52"/>
      <c r="J30" s="53"/>
      <c r="K30" s="52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7.399999999999999">
      <c r="A31" s="48"/>
      <c r="B31" s="49">
        <v>22</v>
      </c>
      <c r="C31" s="49" t="s">
        <v>143</v>
      </c>
      <c r="D31" s="49" t="s">
        <v>144</v>
      </c>
      <c r="E31" s="50" t="s">
        <v>154</v>
      </c>
      <c r="F31" s="50" t="s">
        <v>155</v>
      </c>
      <c r="G31" s="50" t="s">
        <v>156</v>
      </c>
      <c r="H31" s="51" t="s">
        <v>64</v>
      </c>
      <c r="I31" s="52"/>
      <c r="J31" s="53"/>
      <c r="K31" s="52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7.399999999999999">
      <c r="A32" s="48"/>
      <c r="B32" s="49">
        <v>23</v>
      </c>
      <c r="C32" s="49" t="s">
        <v>143</v>
      </c>
      <c r="D32" s="49" t="s">
        <v>157</v>
      </c>
      <c r="E32" s="50" t="s">
        <v>158</v>
      </c>
      <c r="F32" s="50" t="s">
        <v>159</v>
      </c>
      <c r="G32" s="50" t="s">
        <v>160</v>
      </c>
      <c r="H32" s="51" t="s">
        <v>64</v>
      </c>
      <c r="I32" s="52"/>
      <c r="J32" s="53"/>
      <c r="K32" s="52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7.399999999999999">
      <c r="A33" s="48"/>
      <c r="B33" s="49">
        <v>24</v>
      </c>
      <c r="C33" s="49" t="s">
        <v>161</v>
      </c>
      <c r="D33" s="49" t="s">
        <v>162</v>
      </c>
      <c r="E33" s="50" t="s">
        <v>163</v>
      </c>
      <c r="F33" s="50" t="s">
        <v>164</v>
      </c>
      <c r="G33" s="50" t="s">
        <v>165</v>
      </c>
      <c r="H33" s="51" t="s">
        <v>64</v>
      </c>
      <c r="I33" s="52"/>
      <c r="J33" s="53"/>
      <c r="K33" s="52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7.399999999999999">
      <c r="A34" s="48"/>
      <c r="B34" s="49">
        <v>25</v>
      </c>
      <c r="C34" s="49" t="s">
        <v>161</v>
      </c>
      <c r="D34" s="49" t="s">
        <v>162</v>
      </c>
      <c r="E34" s="50" t="s">
        <v>166</v>
      </c>
      <c r="F34" s="50" t="s">
        <v>164</v>
      </c>
      <c r="G34" s="50" t="s">
        <v>167</v>
      </c>
      <c r="H34" s="51" t="s">
        <v>64</v>
      </c>
      <c r="I34" s="52"/>
      <c r="J34" s="53"/>
      <c r="K34" s="52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7.399999999999999">
      <c r="A35" s="48"/>
      <c r="B35" s="49">
        <v>26</v>
      </c>
      <c r="C35" s="49" t="s">
        <v>161</v>
      </c>
      <c r="D35" s="49" t="s">
        <v>162</v>
      </c>
      <c r="E35" s="50" t="s">
        <v>168</v>
      </c>
      <c r="F35" s="50" t="s">
        <v>169</v>
      </c>
      <c r="G35" s="50" t="s">
        <v>170</v>
      </c>
      <c r="H35" s="51" t="s">
        <v>64</v>
      </c>
      <c r="I35" s="52"/>
      <c r="J35" s="53"/>
      <c r="K35" s="52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7.399999999999999">
      <c r="A36" s="48"/>
      <c r="B36" s="49">
        <v>27</v>
      </c>
      <c r="C36" s="49" t="s">
        <v>161</v>
      </c>
      <c r="D36" s="49" t="s">
        <v>162</v>
      </c>
      <c r="E36" s="50" t="s">
        <v>171</v>
      </c>
      <c r="F36" s="50" t="s">
        <v>172</v>
      </c>
      <c r="G36" s="50" t="s">
        <v>173</v>
      </c>
      <c r="H36" s="51" t="s">
        <v>64</v>
      </c>
      <c r="I36" s="52"/>
      <c r="J36" s="53"/>
      <c r="K36" s="52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7.399999999999999">
      <c r="A37" s="48"/>
      <c r="B37" s="49">
        <v>28</v>
      </c>
      <c r="C37" s="49" t="s">
        <v>161</v>
      </c>
      <c r="D37" s="49" t="s">
        <v>174</v>
      </c>
      <c r="E37" s="50" t="s">
        <v>175</v>
      </c>
      <c r="F37" s="50" t="s">
        <v>176</v>
      </c>
      <c r="G37" s="50" t="s">
        <v>177</v>
      </c>
      <c r="H37" s="51" t="s">
        <v>64</v>
      </c>
      <c r="I37" s="52"/>
      <c r="J37" s="53"/>
      <c r="K37" s="52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7.399999999999999">
      <c r="A38" s="48"/>
      <c r="B38" s="49">
        <v>29</v>
      </c>
      <c r="C38" s="49" t="s">
        <v>161</v>
      </c>
      <c r="D38" s="49" t="s">
        <v>174</v>
      </c>
      <c r="E38" s="50" t="s">
        <v>178</v>
      </c>
      <c r="F38" s="50" t="s">
        <v>179</v>
      </c>
      <c r="G38" s="50" t="s">
        <v>180</v>
      </c>
      <c r="H38" s="51" t="s">
        <v>64</v>
      </c>
      <c r="I38" s="52"/>
      <c r="J38" s="53"/>
      <c r="K38" s="52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7.399999999999999">
      <c r="A39" s="48"/>
      <c r="B39" s="49">
        <v>30</v>
      </c>
      <c r="C39" s="49" t="s">
        <v>82</v>
      </c>
      <c r="D39" s="49" t="s">
        <v>181</v>
      </c>
      <c r="E39" s="50" t="s">
        <v>182</v>
      </c>
      <c r="F39" s="50" t="s">
        <v>183</v>
      </c>
      <c r="G39" s="50" t="s">
        <v>184</v>
      </c>
      <c r="H39" s="51" t="s">
        <v>64</v>
      </c>
      <c r="I39" s="52"/>
      <c r="J39" s="53"/>
      <c r="K39" s="52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7.399999999999999">
      <c r="A40" s="48"/>
      <c r="B40" s="49">
        <v>31</v>
      </c>
      <c r="C40" s="49" t="s">
        <v>82</v>
      </c>
      <c r="D40" s="49" t="s">
        <v>181</v>
      </c>
      <c r="E40" s="50" t="s">
        <v>185</v>
      </c>
      <c r="F40" s="50" t="s">
        <v>186</v>
      </c>
      <c r="G40" s="50" t="s">
        <v>187</v>
      </c>
      <c r="H40" s="51" t="s">
        <v>64</v>
      </c>
      <c r="I40" s="52"/>
      <c r="J40" s="53"/>
      <c r="K40" s="52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7.399999999999999">
      <c r="A41" s="48"/>
      <c r="B41" s="49">
        <v>32</v>
      </c>
      <c r="C41" s="49" t="s">
        <v>82</v>
      </c>
      <c r="D41" s="49" t="s">
        <v>181</v>
      </c>
      <c r="E41" s="50" t="s">
        <v>188</v>
      </c>
      <c r="F41" s="50" t="s">
        <v>189</v>
      </c>
      <c r="G41" s="50" t="s">
        <v>190</v>
      </c>
      <c r="H41" s="51" t="s">
        <v>64</v>
      </c>
      <c r="I41" s="52"/>
      <c r="J41" s="53"/>
      <c r="K41" s="52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7.399999999999999">
      <c r="A42" s="48"/>
      <c r="B42" s="49">
        <v>33</v>
      </c>
      <c r="C42" s="49" t="s">
        <v>82</v>
      </c>
      <c r="D42" s="49" t="s">
        <v>181</v>
      </c>
      <c r="E42" s="50" t="s">
        <v>191</v>
      </c>
      <c r="F42" s="50" t="s">
        <v>192</v>
      </c>
      <c r="G42" s="50" t="s">
        <v>193</v>
      </c>
      <c r="H42" s="51" t="s">
        <v>64</v>
      </c>
      <c r="I42" s="52"/>
      <c r="J42" s="53"/>
      <c r="K42" s="52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7.399999999999999">
      <c r="A43" s="48"/>
      <c r="B43" s="49">
        <v>34</v>
      </c>
      <c r="C43" s="49" t="s">
        <v>82</v>
      </c>
      <c r="D43" s="49" t="s">
        <v>181</v>
      </c>
      <c r="E43" s="50" t="s">
        <v>194</v>
      </c>
      <c r="F43" s="50" t="s">
        <v>195</v>
      </c>
      <c r="G43" s="50" t="s">
        <v>196</v>
      </c>
      <c r="H43" s="51" t="s">
        <v>64</v>
      </c>
      <c r="I43" s="52"/>
      <c r="J43" s="53"/>
      <c r="K43" s="52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7.399999999999999">
      <c r="A44" s="48"/>
      <c r="B44" s="49">
        <v>35</v>
      </c>
      <c r="C44" s="49" t="s">
        <v>82</v>
      </c>
      <c r="D44" s="49" t="s">
        <v>181</v>
      </c>
      <c r="E44" s="50" t="s">
        <v>197</v>
      </c>
      <c r="F44" s="50" t="s">
        <v>198</v>
      </c>
      <c r="G44" s="50" t="s">
        <v>199</v>
      </c>
      <c r="H44" s="51" t="s">
        <v>64</v>
      </c>
      <c r="I44" s="52"/>
      <c r="J44" s="53"/>
      <c r="K44" s="52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7.399999999999999">
      <c r="A45" s="48"/>
      <c r="B45" s="49">
        <v>36</v>
      </c>
      <c r="C45" s="49" t="s">
        <v>82</v>
      </c>
      <c r="D45" s="49" t="s">
        <v>181</v>
      </c>
      <c r="E45" s="50" t="s">
        <v>200</v>
      </c>
      <c r="F45" s="50" t="s">
        <v>201</v>
      </c>
      <c r="G45" s="50" t="s">
        <v>202</v>
      </c>
      <c r="H45" s="51" t="s">
        <v>64</v>
      </c>
      <c r="I45" s="52"/>
      <c r="J45" s="53"/>
      <c r="K45" s="52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7.399999999999999">
      <c r="A46" s="48"/>
      <c r="B46" s="49">
        <v>37</v>
      </c>
      <c r="C46" s="49" t="s">
        <v>82</v>
      </c>
      <c r="D46" s="49" t="s">
        <v>181</v>
      </c>
      <c r="E46" s="50" t="s">
        <v>203</v>
      </c>
      <c r="F46" s="50" t="s">
        <v>204</v>
      </c>
      <c r="G46" s="50" t="s">
        <v>205</v>
      </c>
      <c r="H46" s="51" t="s">
        <v>64</v>
      </c>
      <c r="I46" s="52"/>
      <c r="J46" s="53"/>
      <c r="K46" s="52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7.399999999999999">
      <c r="A47" s="48"/>
      <c r="B47" s="49">
        <v>38</v>
      </c>
      <c r="C47" s="49" t="s">
        <v>82</v>
      </c>
      <c r="D47" s="49" t="s">
        <v>181</v>
      </c>
      <c r="E47" s="50" t="s">
        <v>206</v>
      </c>
      <c r="F47" s="50" t="s">
        <v>207</v>
      </c>
      <c r="G47" s="50" t="s">
        <v>208</v>
      </c>
      <c r="H47" s="51" t="s">
        <v>64</v>
      </c>
      <c r="I47" s="52"/>
      <c r="J47" s="53"/>
      <c r="K47" s="52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7.399999999999999">
      <c r="A48" s="48"/>
      <c r="B48" s="49">
        <v>39</v>
      </c>
      <c r="C48" s="49" t="s">
        <v>82</v>
      </c>
      <c r="D48" s="49" t="s">
        <v>181</v>
      </c>
      <c r="E48" s="50" t="s">
        <v>209</v>
      </c>
      <c r="F48" s="50" t="s">
        <v>210</v>
      </c>
      <c r="G48" s="50" t="s">
        <v>211</v>
      </c>
      <c r="H48" s="51" t="s">
        <v>64</v>
      </c>
      <c r="I48" s="52"/>
      <c r="J48" s="53"/>
      <c r="K48" s="52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7.399999999999999">
      <c r="A49" s="48"/>
      <c r="B49" s="49">
        <v>40</v>
      </c>
      <c r="C49" s="49" t="s">
        <v>82</v>
      </c>
      <c r="D49" s="49" t="s">
        <v>181</v>
      </c>
      <c r="E49" s="50" t="s">
        <v>212</v>
      </c>
      <c r="F49" s="50" t="s">
        <v>213</v>
      </c>
      <c r="G49" s="50" t="s">
        <v>214</v>
      </c>
      <c r="H49" s="51" t="s">
        <v>64</v>
      </c>
      <c r="I49" s="52"/>
      <c r="J49" s="53"/>
      <c r="K49" s="52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7.399999999999999">
      <c r="A50" s="48"/>
      <c r="B50" s="49">
        <v>41</v>
      </c>
      <c r="C50" s="49" t="s">
        <v>82</v>
      </c>
      <c r="D50" s="49" t="s">
        <v>181</v>
      </c>
      <c r="E50" s="50" t="s">
        <v>215</v>
      </c>
      <c r="F50" s="50" t="s">
        <v>216</v>
      </c>
      <c r="G50" s="50" t="s">
        <v>217</v>
      </c>
      <c r="H50" s="51" t="s">
        <v>64</v>
      </c>
      <c r="I50" s="52"/>
      <c r="J50" s="53"/>
      <c r="K50" s="52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7.399999999999999">
      <c r="A51" s="48"/>
      <c r="B51" s="49">
        <v>42</v>
      </c>
      <c r="C51" s="49" t="s">
        <v>82</v>
      </c>
      <c r="D51" s="49" t="s">
        <v>181</v>
      </c>
      <c r="E51" s="50" t="s">
        <v>218</v>
      </c>
      <c r="F51" s="50" t="s">
        <v>219</v>
      </c>
      <c r="G51" s="50" t="s">
        <v>220</v>
      </c>
      <c r="H51" s="51" t="s">
        <v>64</v>
      </c>
      <c r="I51" s="52"/>
      <c r="J51" s="53"/>
      <c r="K51" s="52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7.399999999999999">
      <c r="A52" s="48"/>
      <c r="B52" s="49">
        <v>43</v>
      </c>
      <c r="C52" s="49" t="s">
        <v>82</v>
      </c>
      <c r="D52" s="49" t="s">
        <v>181</v>
      </c>
      <c r="E52" s="50" t="s">
        <v>221</v>
      </c>
      <c r="F52" s="50" t="s">
        <v>222</v>
      </c>
      <c r="G52" s="50" t="s">
        <v>223</v>
      </c>
      <c r="H52" s="51" t="s">
        <v>64</v>
      </c>
      <c r="I52" s="52"/>
      <c r="J52" s="53"/>
      <c r="K52" s="52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7.399999999999999">
      <c r="A53" s="48"/>
      <c r="B53" s="49">
        <v>44</v>
      </c>
      <c r="C53" s="49" t="s">
        <v>82</v>
      </c>
      <c r="D53" s="49" t="s">
        <v>181</v>
      </c>
      <c r="E53" s="50" t="s">
        <v>224</v>
      </c>
      <c r="F53" s="50" t="s">
        <v>225</v>
      </c>
      <c r="G53" s="50" t="s">
        <v>226</v>
      </c>
      <c r="H53" s="51" t="s">
        <v>64</v>
      </c>
      <c r="I53" s="52"/>
      <c r="J53" s="53"/>
      <c r="K53" s="52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7.399999999999999">
      <c r="A54" s="48"/>
      <c r="B54" s="49">
        <v>45</v>
      </c>
      <c r="C54" s="49" t="s">
        <v>82</v>
      </c>
      <c r="D54" s="49" t="s">
        <v>227</v>
      </c>
      <c r="E54" s="50" t="s">
        <v>117</v>
      </c>
      <c r="F54" s="50" t="s">
        <v>228</v>
      </c>
      <c r="G54" s="50" t="s">
        <v>229</v>
      </c>
      <c r="H54" s="51" t="s">
        <v>64</v>
      </c>
      <c r="I54" s="52"/>
      <c r="J54" s="53"/>
      <c r="K54" s="52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7.399999999999999">
      <c r="A55" s="48"/>
      <c r="B55" s="49">
        <v>46</v>
      </c>
      <c r="C55" s="49" t="s">
        <v>82</v>
      </c>
      <c r="D55" s="49" t="s">
        <v>227</v>
      </c>
      <c r="E55" s="50" t="s">
        <v>230</v>
      </c>
      <c r="F55" s="50" t="s">
        <v>231</v>
      </c>
      <c r="G55" s="50" t="s">
        <v>232</v>
      </c>
      <c r="H55" s="51" t="s">
        <v>64</v>
      </c>
      <c r="I55" s="52"/>
      <c r="J55" s="53"/>
      <c r="K55" s="52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7.399999999999999">
      <c r="A56" s="48"/>
      <c r="B56" s="49">
        <v>47</v>
      </c>
      <c r="C56" s="49" t="s">
        <v>82</v>
      </c>
      <c r="D56" s="49" t="s">
        <v>227</v>
      </c>
      <c r="E56" s="50" t="s">
        <v>117</v>
      </c>
      <c r="F56" s="50" t="s">
        <v>233</v>
      </c>
      <c r="G56" s="54" t="s">
        <v>234</v>
      </c>
      <c r="H56" s="51" t="s">
        <v>64</v>
      </c>
      <c r="I56" s="52"/>
      <c r="J56" s="53"/>
      <c r="K56" s="52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7.399999999999999">
      <c r="A57" s="48"/>
      <c r="B57" s="49">
        <v>48</v>
      </c>
      <c r="C57" s="49" t="s">
        <v>82</v>
      </c>
      <c r="D57" s="49" t="s">
        <v>227</v>
      </c>
      <c r="E57" s="50" t="s">
        <v>117</v>
      </c>
      <c r="F57" s="50" t="s">
        <v>235</v>
      </c>
      <c r="G57" s="50" t="s">
        <v>236</v>
      </c>
      <c r="H57" s="51" t="s">
        <v>64</v>
      </c>
      <c r="I57" s="52"/>
      <c r="J57" s="53"/>
      <c r="K57" s="52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7.399999999999999">
      <c r="A58" s="48"/>
      <c r="B58" s="49">
        <v>49</v>
      </c>
      <c r="C58" s="49" t="s">
        <v>82</v>
      </c>
      <c r="D58" s="49" t="s">
        <v>227</v>
      </c>
      <c r="E58" s="50" t="s">
        <v>237</v>
      </c>
      <c r="F58" s="50" t="s">
        <v>238</v>
      </c>
      <c r="G58" s="50" t="s">
        <v>239</v>
      </c>
      <c r="H58" s="51" t="s">
        <v>64</v>
      </c>
      <c r="I58" s="52"/>
      <c r="J58" s="53"/>
      <c r="K58" s="52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7.399999999999999">
      <c r="A59" s="48"/>
      <c r="B59" s="49">
        <v>50</v>
      </c>
      <c r="C59" s="49" t="s">
        <v>82</v>
      </c>
      <c r="D59" s="49" t="s">
        <v>240</v>
      </c>
      <c r="E59" s="50" t="s">
        <v>241</v>
      </c>
      <c r="F59" s="50" t="s">
        <v>242</v>
      </c>
      <c r="G59" s="50" t="s">
        <v>243</v>
      </c>
      <c r="H59" s="51" t="s">
        <v>64</v>
      </c>
      <c r="I59" s="52"/>
      <c r="J59" s="53"/>
      <c r="K59" s="52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7.399999999999999">
      <c r="A60" s="48"/>
      <c r="B60" s="49">
        <v>51</v>
      </c>
      <c r="C60" s="49" t="s">
        <v>82</v>
      </c>
      <c r="D60" s="49" t="s">
        <v>240</v>
      </c>
      <c r="E60" s="50" t="s">
        <v>244</v>
      </c>
      <c r="F60" s="50" t="s">
        <v>245</v>
      </c>
      <c r="G60" s="54" t="s">
        <v>246</v>
      </c>
      <c r="H60" s="51" t="s">
        <v>64</v>
      </c>
      <c r="I60" s="52"/>
      <c r="J60" s="53"/>
      <c r="K60" s="52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7.399999999999999">
      <c r="A61" s="48"/>
      <c r="B61" s="49">
        <v>52</v>
      </c>
      <c r="C61" s="49" t="s">
        <v>82</v>
      </c>
      <c r="D61" s="49" t="s">
        <v>240</v>
      </c>
      <c r="E61" s="50" t="s">
        <v>247</v>
      </c>
      <c r="F61" s="50" t="s">
        <v>248</v>
      </c>
      <c r="G61" s="50" t="s">
        <v>249</v>
      </c>
      <c r="H61" s="51" t="s">
        <v>64</v>
      </c>
      <c r="I61" s="52"/>
      <c r="J61" s="53"/>
      <c r="K61" s="52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7.399999999999999">
      <c r="A62" s="48"/>
      <c r="B62" s="49">
        <v>53</v>
      </c>
      <c r="C62" s="49" t="s">
        <v>82</v>
      </c>
      <c r="D62" s="49" t="s">
        <v>240</v>
      </c>
      <c r="E62" s="50" t="s">
        <v>250</v>
      </c>
      <c r="F62" s="50" t="s">
        <v>251</v>
      </c>
      <c r="G62" s="54" t="s">
        <v>252</v>
      </c>
      <c r="H62" s="51" t="s">
        <v>64</v>
      </c>
      <c r="I62" s="52"/>
      <c r="J62" s="53"/>
      <c r="K62" s="52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7.399999999999999">
      <c r="A63" s="48"/>
      <c r="B63" s="49">
        <v>54</v>
      </c>
      <c r="C63" s="49" t="s">
        <v>82</v>
      </c>
      <c r="D63" s="49" t="s">
        <v>240</v>
      </c>
      <c r="E63" s="50" t="s">
        <v>253</v>
      </c>
      <c r="F63" s="50" t="s">
        <v>254</v>
      </c>
      <c r="G63" s="50" t="s">
        <v>255</v>
      </c>
      <c r="H63" s="51" t="s">
        <v>64</v>
      </c>
      <c r="I63" s="52"/>
      <c r="J63" s="53"/>
      <c r="K63" s="52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7.399999999999999">
      <c r="A64" s="48"/>
      <c r="B64" s="49">
        <v>55</v>
      </c>
      <c r="C64" s="49" t="s">
        <v>82</v>
      </c>
      <c r="D64" s="49" t="s">
        <v>240</v>
      </c>
      <c r="E64" s="50" t="s">
        <v>256</v>
      </c>
      <c r="F64" s="50" t="s">
        <v>257</v>
      </c>
      <c r="G64" s="50" t="s">
        <v>258</v>
      </c>
      <c r="H64" s="51" t="s">
        <v>64</v>
      </c>
      <c r="I64" s="52"/>
      <c r="J64" s="53"/>
      <c r="K64" s="52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7.399999999999999">
      <c r="A65" s="48"/>
      <c r="B65" s="49">
        <v>56</v>
      </c>
      <c r="C65" s="49" t="s">
        <v>82</v>
      </c>
      <c r="D65" s="49" t="s">
        <v>259</v>
      </c>
      <c r="E65" s="50" t="s">
        <v>241</v>
      </c>
      <c r="F65" s="50" t="s">
        <v>260</v>
      </c>
      <c r="G65" s="50" t="s">
        <v>261</v>
      </c>
      <c r="H65" s="51" t="s">
        <v>64</v>
      </c>
      <c r="I65" s="52"/>
      <c r="J65" s="53"/>
      <c r="K65" s="52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7.399999999999999">
      <c r="A66" s="48"/>
      <c r="B66" s="49">
        <v>57</v>
      </c>
      <c r="C66" s="49" t="s">
        <v>82</v>
      </c>
      <c r="D66" s="49" t="s">
        <v>259</v>
      </c>
      <c r="E66" s="50" t="s">
        <v>244</v>
      </c>
      <c r="F66" s="50" t="s">
        <v>262</v>
      </c>
      <c r="G66" s="50" t="s">
        <v>263</v>
      </c>
      <c r="H66" s="51" t="s">
        <v>64</v>
      </c>
      <c r="I66" s="52"/>
      <c r="J66" s="53"/>
      <c r="K66" s="52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7.399999999999999">
      <c r="A67" s="48"/>
      <c r="B67" s="49">
        <v>58</v>
      </c>
      <c r="C67" s="49" t="s">
        <v>82</v>
      </c>
      <c r="D67" s="49" t="s">
        <v>259</v>
      </c>
      <c r="E67" s="50" t="s">
        <v>264</v>
      </c>
      <c r="F67" s="50" t="s">
        <v>265</v>
      </c>
      <c r="G67" s="50" t="s">
        <v>266</v>
      </c>
      <c r="H67" s="51" t="s">
        <v>64</v>
      </c>
      <c r="I67" s="52"/>
      <c r="J67" s="53"/>
      <c r="K67" s="52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7.399999999999999">
      <c r="A68" s="48"/>
      <c r="B68" s="49">
        <v>59</v>
      </c>
      <c r="C68" s="49" t="s">
        <v>82</v>
      </c>
      <c r="D68" s="49" t="s">
        <v>259</v>
      </c>
      <c r="E68" s="50" t="s">
        <v>267</v>
      </c>
      <c r="F68" s="50" t="s">
        <v>268</v>
      </c>
      <c r="G68" s="50" t="s">
        <v>269</v>
      </c>
      <c r="H68" s="51" t="s">
        <v>64</v>
      </c>
      <c r="I68" s="52"/>
      <c r="J68" s="53"/>
      <c r="K68" s="52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7.399999999999999">
      <c r="A69" s="48"/>
      <c r="B69" s="49">
        <v>60</v>
      </c>
      <c r="C69" s="49" t="s">
        <v>82</v>
      </c>
      <c r="D69" s="49" t="s">
        <v>270</v>
      </c>
      <c r="E69" s="50" t="s">
        <v>271</v>
      </c>
      <c r="F69" s="50" t="s">
        <v>272</v>
      </c>
      <c r="G69" s="50" t="s">
        <v>273</v>
      </c>
      <c r="H69" s="51" t="s">
        <v>64</v>
      </c>
      <c r="I69" s="52"/>
      <c r="J69" s="53"/>
      <c r="K69" s="52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7.399999999999999">
      <c r="A70" s="48"/>
      <c r="B70" s="49">
        <v>61</v>
      </c>
      <c r="C70" s="49" t="s">
        <v>82</v>
      </c>
      <c r="D70" s="49" t="s">
        <v>270</v>
      </c>
      <c r="E70" s="50" t="s">
        <v>274</v>
      </c>
      <c r="F70" s="50" t="s">
        <v>275</v>
      </c>
      <c r="G70" s="50" t="s">
        <v>276</v>
      </c>
      <c r="H70" s="51" t="s">
        <v>64</v>
      </c>
      <c r="I70" s="52"/>
      <c r="J70" s="53"/>
      <c r="K70" s="52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7.399999999999999">
      <c r="A71" s="48"/>
      <c r="B71" s="49">
        <v>62</v>
      </c>
      <c r="C71" s="49" t="s">
        <v>82</v>
      </c>
      <c r="D71" s="49" t="s">
        <v>270</v>
      </c>
      <c r="E71" s="50" t="s">
        <v>277</v>
      </c>
      <c r="F71" s="50" t="s">
        <v>278</v>
      </c>
      <c r="G71" s="50" t="s">
        <v>279</v>
      </c>
      <c r="H71" s="51" t="s">
        <v>64</v>
      </c>
      <c r="I71" s="52"/>
      <c r="J71" s="53"/>
      <c r="K71" s="52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7.399999999999999">
      <c r="A72" s="48"/>
      <c r="B72" s="49">
        <v>63</v>
      </c>
      <c r="C72" s="49" t="s">
        <v>82</v>
      </c>
      <c r="D72" s="49" t="s">
        <v>270</v>
      </c>
      <c r="E72" s="50" t="s">
        <v>280</v>
      </c>
      <c r="F72" s="50" t="s">
        <v>281</v>
      </c>
      <c r="G72" s="50" t="s">
        <v>282</v>
      </c>
      <c r="H72" s="51" t="s">
        <v>64</v>
      </c>
      <c r="I72" s="52"/>
      <c r="J72" s="53"/>
      <c r="K72" s="52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7.399999999999999">
      <c r="A73" s="48"/>
      <c r="B73" s="49">
        <v>64</v>
      </c>
      <c r="C73" s="49" t="s">
        <v>82</v>
      </c>
      <c r="D73" s="49" t="s">
        <v>283</v>
      </c>
      <c r="E73" s="50" t="s">
        <v>284</v>
      </c>
      <c r="F73" s="50" t="s">
        <v>285</v>
      </c>
      <c r="G73" s="50" t="s">
        <v>286</v>
      </c>
      <c r="H73" s="51" t="s">
        <v>64</v>
      </c>
      <c r="I73" s="52"/>
      <c r="J73" s="53"/>
      <c r="K73" s="52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7.399999999999999">
      <c r="A74" s="48"/>
      <c r="B74" s="49">
        <v>65</v>
      </c>
      <c r="C74" s="49" t="s">
        <v>82</v>
      </c>
      <c r="D74" s="49" t="s">
        <v>283</v>
      </c>
      <c r="E74" s="50" t="s">
        <v>287</v>
      </c>
      <c r="F74" s="50" t="s">
        <v>288</v>
      </c>
      <c r="G74" s="50" t="s">
        <v>289</v>
      </c>
      <c r="H74" s="51" t="s">
        <v>64</v>
      </c>
      <c r="I74" s="52"/>
      <c r="J74" s="53"/>
      <c r="K74" s="52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7.399999999999999">
      <c r="A75" s="48"/>
      <c r="B75" s="49">
        <v>66</v>
      </c>
      <c r="C75" s="49" t="s">
        <v>82</v>
      </c>
      <c r="D75" s="49" t="s">
        <v>283</v>
      </c>
      <c r="E75" s="50" t="s">
        <v>290</v>
      </c>
      <c r="F75" s="50" t="s">
        <v>291</v>
      </c>
      <c r="G75" s="54" t="s">
        <v>292</v>
      </c>
      <c r="H75" s="51" t="s">
        <v>64</v>
      </c>
      <c r="I75" s="52"/>
      <c r="J75" s="53"/>
      <c r="K75" s="52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7.399999999999999">
      <c r="A76" s="48"/>
      <c r="B76" s="49">
        <v>67</v>
      </c>
      <c r="C76" s="49" t="s">
        <v>82</v>
      </c>
      <c r="D76" s="49" t="s">
        <v>283</v>
      </c>
      <c r="E76" s="50" t="s">
        <v>293</v>
      </c>
      <c r="F76" s="50" t="s">
        <v>294</v>
      </c>
      <c r="G76" s="50" t="s">
        <v>295</v>
      </c>
      <c r="H76" s="51" t="s">
        <v>64</v>
      </c>
      <c r="I76" s="52"/>
      <c r="J76" s="53"/>
      <c r="K76" s="52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7.399999999999999">
      <c r="A77" s="48"/>
      <c r="B77" s="49">
        <v>68</v>
      </c>
      <c r="C77" s="49" t="s">
        <v>82</v>
      </c>
      <c r="D77" s="49" t="s">
        <v>283</v>
      </c>
      <c r="E77" s="50" t="s">
        <v>296</v>
      </c>
      <c r="F77" s="50" t="s">
        <v>297</v>
      </c>
      <c r="G77" s="50" t="s">
        <v>298</v>
      </c>
      <c r="H77" s="51" t="s">
        <v>64</v>
      </c>
      <c r="I77" s="52"/>
      <c r="J77" s="53"/>
      <c r="K77" s="52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7.399999999999999">
      <c r="A78" s="48"/>
      <c r="B78" s="49">
        <v>69</v>
      </c>
      <c r="C78" s="49" t="s">
        <v>82</v>
      </c>
      <c r="D78" s="49" t="s">
        <v>299</v>
      </c>
      <c r="E78" s="50" t="s">
        <v>300</v>
      </c>
      <c r="F78" s="50" t="s">
        <v>301</v>
      </c>
      <c r="G78" s="50" t="s">
        <v>302</v>
      </c>
      <c r="H78" s="51" t="s">
        <v>64</v>
      </c>
      <c r="I78" s="52"/>
      <c r="J78" s="53"/>
      <c r="K78" s="52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7.399999999999999">
      <c r="A79" s="48"/>
      <c r="B79" s="49">
        <v>70</v>
      </c>
      <c r="C79" s="49" t="s">
        <v>82</v>
      </c>
      <c r="D79" s="49" t="s">
        <v>299</v>
      </c>
      <c r="E79" s="50" t="s">
        <v>303</v>
      </c>
      <c r="F79" s="50" t="s">
        <v>304</v>
      </c>
      <c r="G79" s="50" t="s">
        <v>305</v>
      </c>
      <c r="H79" s="51" t="s">
        <v>64</v>
      </c>
      <c r="I79" s="52"/>
      <c r="J79" s="53"/>
      <c r="K79" s="52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7.399999999999999">
      <c r="A80" s="48"/>
      <c r="B80" s="49">
        <v>71</v>
      </c>
      <c r="C80" s="49" t="s">
        <v>82</v>
      </c>
      <c r="D80" s="49" t="s">
        <v>299</v>
      </c>
      <c r="E80" s="50" t="s">
        <v>306</v>
      </c>
      <c r="F80" s="50" t="s">
        <v>307</v>
      </c>
      <c r="G80" s="50" t="s">
        <v>308</v>
      </c>
      <c r="H80" s="51" t="s">
        <v>64</v>
      </c>
      <c r="I80" s="52"/>
      <c r="J80" s="53"/>
      <c r="K80" s="52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7.399999999999999">
      <c r="A81" s="48"/>
      <c r="B81" s="49">
        <v>72</v>
      </c>
      <c r="C81" s="49" t="s">
        <v>82</v>
      </c>
      <c r="D81" s="49" t="s">
        <v>299</v>
      </c>
      <c r="E81" s="50" t="s">
        <v>309</v>
      </c>
      <c r="F81" s="50" t="s">
        <v>310</v>
      </c>
      <c r="G81" s="50" t="s">
        <v>311</v>
      </c>
      <c r="H81" s="51" t="s">
        <v>64</v>
      </c>
      <c r="I81" s="52"/>
      <c r="J81" s="53"/>
      <c r="K81" s="52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7.399999999999999">
      <c r="A82" s="48"/>
      <c r="B82" s="49">
        <v>73</v>
      </c>
      <c r="C82" s="49" t="s">
        <v>82</v>
      </c>
      <c r="D82" s="49" t="s">
        <v>299</v>
      </c>
      <c r="E82" s="50" t="s">
        <v>312</v>
      </c>
      <c r="F82" s="50" t="s">
        <v>313</v>
      </c>
      <c r="G82" s="50" t="s">
        <v>314</v>
      </c>
      <c r="H82" s="51" t="s">
        <v>64</v>
      </c>
      <c r="I82" s="52"/>
      <c r="J82" s="53"/>
      <c r="K82" s="52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7.399999999999999">
      <c r="A83" s="48"/>
      <c r="B83" s="49">
        <v>74</v>
      </c>
      <c r="C83" s="49" t="s">
        <v>82</v>
      </c>
      <c r="D83" s="49" t="s">
        <v>299</v>
      </c>
      <c r="E83" s="50" t="s">
        <v>315</v>
      </c>
      <c r="F83" s="50" t="s">
        <v>307</v>
      </c>
      <c r="G83" s="50" t="s">
        <v>316</v>
      </c>
      <c r="H83" s="51" t="s">
        <v>64</v>
      </c>
      <c r="I83" s="52"/>
      <c r="J83" s="53"/>
      <c r="K83" s="52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7.399999999999999">
      <c r="A84" s="48"/>
      <c r="B84" s="49">
        <v>75</v>
      </c>
      <c r="C84" s="49" t="s">
        <v>82</v>
      </c>
      <c r="D84" s="49" t="s">
        <v>299</v>
      </c>
      <c r="E84" s="50" t="s">
        <v>317</v>
      </c>
      <c r="F84" s="50" t="s">
        <v>318</v>
      </c>
      <c r="G84" s="50" t="s">
        <v>311</v>
      </c>
      <c r="H84" s="51" t="s">
        <v>64</v>
      </c>
      <c r="I84" s="52"/>
      <c r="J84" s="53"/>
      <c r="K84" s="52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7.399999999999999">
      <c r="A85" s="48"/>
      <c r="B85" s="49">
        <v>76</v>
      </c>
      <c r="C85" s="49" t="s">
        <v>82</v>
      </c>
      <c r="D85" s="49" t="s">
        <v>299</v>
      </c>
      <c r="E85" s="50" t="s">
        <v>319</v>
      </c>
      <c r="F85" s="50" t="s">
        <v>320</v>
      </c>
      <c r="G85" s="50" t="s">
        <v>314</v>
      </c>
      <c r="H85" s="51" t="s">
        <v>64</v>
      </c>
      <c r="I85" s="52"/>
      <c r="J85" s="53"/>
      <c r="K85" s="52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7.399999999999999">
      <c r="A86" s="48"/>
      <c r="B86" s="49">
        <v>77</v>
      </c>
      <c r="C86" s="49" t="s">
        <v>82</v>
      </c>
      <c r="D86" s="49" t="s">
        <v>299</v>
      </c>
      <c r="E86" s="50" t="s">
        <v>321</v>
      </c>
      <c r="F86" s="50" t="s">
        <v>322</v>
      </c>
      <c r="G86" s="50" t="s">
        <v>323</v>
      </c>
      <c r="H86" s="51" t="s">
        <v>64</v>
      </c>
      <c r="I86" s="52"/>
      <c r="J86" s="53"/>
      <c r="K86" s="52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7.399999999999999">
      <c r="A87" s="48"/>
      <c r="B87" s="49">
        <v>78</v>
      </c>
      <c r="C87" s="49" t="s">
        <v>82</v>
      </c>
      <c r="D87" s="49" t="s">
        <v>299</v>
      </c>
      <c r="E87" s="50" t="s">
        <v>324</v>
      </c>
      <c r="F87" s="50" t="s">
        <v>325</v>
      </c>
      <c r="G87" s="50" t="s">
        <v>326</v>
      </c>
      <c r="H87" s="51" t="s">
        <v>64</v>
      </c>
      <c r="I87" s="52"/>
      <c r="J87" s="53"/>
      <c r="K87" s="52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7.399999999999999">
      <c r="A88" s="48"/>
      <c r="B88" s="49">
        <v>79</v>
      </c>
      <c r="C88" s="49" t="s">
        <v>82</v>
      </c>
      <c r="D88" s="49" t="s">
        <v>299</v>
      </c>
      <c r="E88" s="50" t="s">
        <v>327</v>
      </c>
      <c r="F88" s="50" t="s">
        <v>328</v>
      </c>
      <c r="G88" s="50" t="s">
        <v>329</v>
      </c>
      <c r="H88" s="51" t="s">
        <v>64</v>
      </c>
      <c r="I88" s="52"/>
      <c r="J88" s="53"/>
      <c r="K88" s="52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7.399999999999999">
      <c r="A89" s="48"/>
      <c r="B89" s="49">
        <v>80</v>
      </c>
      <c r="C89" s="49" t="s">
        <v>82</v>
      </c>
      <c r="D89" s="49" t="s">
        <v>299</v>
      </c>
      <c r="E89" s="50" t="s">
        <v>327</v>
      </c>
      <c r="F89" s="50" t="s">
        <v>330</v>
      </c>
      <c r="G89" s="50" t="s">
        <v>331</v>
      </c>
      <c r="H89" s="51" t="s">
        <v>64</v>
      </c>
      <c r="I89" s="52"/>
      <c r="J89" s="53"/>
      <c r="K89" s="52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7.399999999999999">
      <c r="A90" s="48"/>
      <c r="B90" s="49">
        <v>81</v>
      </c>
      <c r="C90" s="49" t="s">
        <v>82</v>
      </c>
      <c r="D90" s="49" t="s">
        <v>299</v>
      </c>
      <c r="E90" s="50" t="s">
        <v>332</v>
      </c>
      <c r="F90" s="50" t="s">
        <v>333</v>
      </c>
      <c r="G90" s="50" t="s">
        <v>334</v>
      </c>
      <c r="H90" s="51" t="s">
        <v>64</v>
      </c>
      <c r="I90" s="52"/>
      <c r="J90" s="53"/>
      <c r="K90" s="52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7.399999999999999">
      <c r="A91" s="48"/>
      <c r="B91" s="49">
        <v>82</v>
      </c>
      <c r="C91" s="49" t="s">
        <v>82</v>
      </c>
      <c r="D91" s="49" t="s">
        <v>299</v>
      </c>
      <c r="E91" s="50" t="s">
        <v>335</v>
      </c>
      <c r="F91" s="50" t="s">
        <v>336</v>
      </c>
      <c r="G91" s="50" t="s">
        <v>337</v>
      </c>
      <c r="H91" s="51" t="s">
        <v>64</v>
      </c>
      <c r="I91" s="52"/>
      <c r="J91" s="53"/>
      <c r="K91" s="52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7.399999999999999">
      <c r="A92" s="48"/>
      <c r="B92" s="49">
        <v>83</v>
      </c>
      <c r="C92" s="49" t="s">
        <v>82</v>
      </c>
      <c r="D92" s="49" t="s">
        <v>299</v>
      </c>
      <c r="E92" s="50" t="s">
        <v>338</v>
      </c>
      <c r="F92" s="50" t="s">
        <v>339</v>
      </c>
      <c r="G92" s="54" t="s">
        <v>340</v>
      </c>
      <c r="H92" s="51" t="s">
        <v>64</v>
      </c>
      <c r="I92" s="52"/>
      <c r="J92" s="53"/>
      <c r="K92" s="52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7.399999999999999">
      <c r="A93" s="48"/>
      <c r="B93" s="49">
        <v>84</v>
      </c>
      <c r="C93" s="49" t="s">
        <v>82</v>
      </c>
      <c r="D93" s="49" t="s">
        <v>299</v>
      </c>
      <c r="E93" s="50" t="s">
        <v>341</v>
      </c>
      <c r="F93" s="50" t="s">
        <v>342</v>
      </c>
      <c r="G93" s="50" t="s">
        <v>343</v>
      </c>
      <c r="H93" s="51" t="s">
        <v>64</v>
      </c>
      <c r="I93" s="52"/>
      <c r="J93" s="53"/>
      <c r="K93" s="52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7.399999999999999">
      <c r="A94" s="48"/>
      <c r="B94" s="49">
        <v>85</v>
      </c>
      <c r="C94" s="49" t="s">
        <v>82</v>
      </c>
      <c r="D94" s="49" t="s">
        <v>299</v>
      </c>
      <c r="E94" s="50" t="s">
        <v>344</v>
      </c>
      <c r="F94" s="50" t="s">
        <v>345</v>
      </c>
      <c r="G94" s="50" t="s">
        <v>346</v>
      </c>
      <c r="H94" s="51" t="s">
        <v>64</v>
      </c>
      <c r="I94" s="52"/>
      <c r="J94" s="53"/>
      <c r="K94" s="52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7.399999999999999">
      <c r="A95" s="48"/>
      <c r="B95" s="49">
        <v>86</v>
      </c>
      <c r="C95" s="49" t="s">
        <v>82</v>
      </c>
      <c r="D95" s="49" t="s">
        <v>299</v>
      </c>
      <c r="E95" s="50" t="s">
        <v>347</v>
      </c>
      <c r="F95" s="50" t="s">
        <v>348</v>
      </c>
      <c r="G95" s="50" t="s">
        <v>349</v>
      </c>
      <c r="H95" s="51" t="s">
        <v>64</v>
      </c>
      <c r="I95" s="52"/>
      <c r="J95" s="53"/>
      <c r="K95" s="52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7.399999999999999">
      <c r="A96" s="48"/>
      <c r="B96" s="49">
        <v>87</v>
      </c>
      <c r="C96" s="49" t="s">
        <v>82</v>
      </c>
      <c r="D96" s="49" t="s">
        <v>299</v>
      </c>
      <c r="E96" s="50" t="s">
        <v>350</v>
      </c>
      <c r="F96" s="50" t="s">
        <v>351</v>
      </c>
      <c r="G96" s="50" t="s">
        <v>352</v>
      </c>
      <c r="H96" s="51" t="s">
        <v>64</v>
      </c>
      <c r="I96" s="52"/>
      <c r="J96" s="53"/>
      <c r="K96" s="52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7.399999999999999">
      <c r="A97" s="48"/>
      <c r="B97" s="49">
        <v>88</v>
      </c>
      <c r="C97" s="49" t="s">
        <v>353</v>
      </c>
      <c r="D97" s="49" t="s">
        <v>354</v>
      </c>
      <c r="E97" s="50" t="s">
        <v>355</v>
      </c>
      <c r="F97" s="50" t="s">
        <v>356</v>
      </c>
      <c r="G97" s="54" t="s">
        <v>357</v>
      </c>
      <c r="H97" s="51" t="s">
        <v>64</v>
      </c>
      <c r="I97" s="52"/>
      <c r="J97" s="53"/>
      <c r="K97" s="52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7.399999999999999">
      <c r="A98" s="48"/>
      <c r="B98" s="49">
        <v>89</v>
      </c>
      <c r="C98" s="49" t="s">
        <v>353</v>
      </c>
      <c r="D98" s="49" t="s">
        <v>354</v>
      </c>
      <c r="E98" s="50" t="s">
        <v>358</v>
      </c>
      <c r="F98" s="50" t="s">
        <v>359</v>
      </c>
      <c r="G98" s="54" t="s">
        <v>360</v>
      </c>
      <c r="H98" s="51" t="s">
        <v>64</v>
      </c>
      <c r="I98" s="52"/>
      <c r="J98" s="53"/>
      <c r="K98" s="52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7.399999999999999">
      <c r="A99" s="48"/>
      <c r="B99" s="49">
        <v>90</v>
      </c>
      <c r="C99" s="49" t="s">
        <v>353</v>
      </c>
      <c r="D99" s="49" t="s">
        <v>354</v>
      </c>
      <c r="E99" s="50" t="s">
        <v>361</v>
      </c>
      <c r="F99" s="50" t="s">
        <v>362</v>
      </c>
      <c r="G99" s="50" t="s">
        <v>363</v>
      </c>
      <c r="H99" s="51" t="s">
        <v>64</v>
      </c>
      <c r="I99" s="52"/>
      <c r="J99" s="53"/>
      <c r="K99" s="52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7.399999999999999">
      <c r="A100" s="48"/>
      <c r="B100" s="49">
        <v>91</v>
      </c>
      <c r="C100" s="49" t="s">
        <v>353</v>
      </c>
      <c r="D100" s="49" t="s">
        <v>364</v>
      </c>
      <c r="E100" s="50" t="s">
        <v>365</v>
      </c>
      <c r="F100" s="50" t="s">
        <v>366</v>
      </c>
      <c r="G100" s="50" t="s">
        <v>367</v>
      </c>
      <c r="H100" s="51" t="s">
        <v>64</v>
      </c>
      <c r="I100" s="52"/>
      <c r="J100" s="53"/>
      <c r="K100" s="52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7.399999999999999">
      <c r="A101" s="48"/>
      <c r="B101" s="49">
        <v>92</v>
      </c>
      <c r="C101" s="49" t="s">
        <v>353</v>
      </c>
      <c r="D101" s="49" t="s">
        <v>364</v>
      </c>
      <c r="E101" s="50" t="s">
        <v>368</v>
      </c>
      <c r="F101" s="50" t="s">
        <v>369</v>
      </c>
      <c r="G101" s="54" t="s">
        <v>370</v>
      </c>
      <c r="H101" s="51" t="s">
        <v>64</v>
      </c>
      <c r="I101" s="52"/>
      <c r="J101" s="53"/>
      <c r="K101" s="52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7.399999999999999">
      <c r="A102" s="48"/>
      <c r="B102" s="49">
        <v>93</v>
      </c>
      <c r="C102" s="49" t="s">
        <v>353</v>
      </c>
      <c r="D102" s="49" t="s">
        <v>371</v>
      </c>
      <c r="E102" s="50" t="s">
        <v>372</v>
      </c>
      <c r="F102" s="50" t="s">
        <v>373</v>
      </c>
      <c r="G102" s="50" t="s">
        <v>374</v>
      </c>
      <c r="H102" s="51" t="s">
        <v>64</v>
      </c>
      <c r="I102" s="52"/>
      <c r="J102" s="53"/>
      <c r="K102" s="52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7.399999999999999">
      <c r="A103" s="48"/>
      <c r="B103" s="49">
        <v>94</v>
      </c>
      <c r="C103" s="49" t="s">
        <v>353</v>
      </c>
      <c r="D103" s="49" t="s">
        <v>375</v>
      </c>
      <c r="E103" s="50" t="s">
        <v>376</v>
      </c>
      <c r="F103" s="50" t="s">
        <v>377</v>
      </c>
      <c r="G103" s="50" t="s">
        <v>378</v>
      </c>
      <c r="H103" s="51" t="s">
        <v>64</v>
      </c>
      <c r="I103" s="52"/>
      <c r="J103" s="53"/>
      <c r="K103" s="52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7.399999999999999">
      <c r="A104" s="48"/>
      <c r="B104" s="49">
        <v>95</v>
      </c>
      <c r="C104" s="49" t="s">
        <v>353</v>
      </c>
      <c r="D104" s="49" t="s">
        <v>379</v>
      </c>
      <c r="E104" s="50" t="s">
        <v>380</v>
      </c>
      <c r="F104" s="50" t="s">
        <v>381</v>
      </c>
      <c r="G104" s="50" t="s">
        <v>382</v>
      </c>
      <c r="H104" s="51" t="s">
        <v>64</v>
      </c>
      <c r="I104" s="52"/>
      <c r="J104" s="53"/>
      <c r="K104" s="52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7.399999999999999">
      <c r="A105" s="48"/>
      <c r="B105" s="49">
        <v>96</v>
      </c>
      <c r="C105" s="49" t="s">
        <v>353</v>
      </c>
      <c r="D105" s="49" t="s">
        <v>383</v>
      </c>
      <c r="E105" s="50" t="s">
        <v>384</v>
      </c>
      <c r="F105" s="50" t="s">
        <v>385</v>
      </c>
      <c r="G105" s="50" t="s">
        <v>386</v>
      </c>
      <c r="H105" s="51" t="s">
        <v>64</v>
      </c>
      <c r="I105" s="52"/>
      <c r="J105" s="53"/>
      <c r="K105" s="52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7.399999999999999">
      <c r="A106" s="48"/>
      <c r="B106" s="49">
        <v>97</v>
      </c>
      <c r="C106" s="49" t="s">
        <v>353</v>
      </c>
      <c r="D106" s="49" t="s">
        <v>387</v>
      </c>
      <c r="E106" s="50" t="s">
        <v>388</v>
      </c>
      <c r="F106" s="50" t="s">
        <v>389</v>
      </c>
      <c r="G106" s="50" t="s">
        <v>390</v>
      </c>
      <c r="H106" s="51" t="s">
        <v>64</v>
      </c>
      <c r="I106" s="52"/>
      <c r="J106" s="53"/>
      <c r="K106" s="52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7.399999999999999">
      <c r="A107" s="48"/>
      <c r="B107" s="49">
        <v>98</v>
      </c>
      <c r="C107" s="49" t="s">
        <v>353</v>
      </c>
      <c r="D107" s="49" t="s">
        <v>391</v>
      </c>
      <c r="E107" s="50" t="s">
        <v>392</v>
      </c>
      <c r="F107" s="50" t="s">
        <v>393</v>
      </c>
      <c r="G107" s="50" t="s">
        <v>394</v>
      </c>
      <c r="H107" s="51" t="s">
        <v>64</v>
      </c>
      <c r="I107" s="52"/>
      <c r="J107" s="53"/>
      <c r="K107" s="52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7.399999999999999">
      <c r="A108" s="48"/>
      <c r="B108" s="49">
        <v>99</v>
      </c>
      <c r="C108" s="49" t="s">
        <v>353</v>
      </c>
      <c r="D108" s="49" t="s">
        <v>395</v>
      </c>
      <c r="E108" s="50" t="s">
        <v>396</v>
      </c>
      <c r="F108" s="50" t="s">
        <v>397</v>
      </c>
      <c r="G108" s="50" t="s">
        <v>398</v>
      </c>
      <c r="H108" s="51" t="s">
        <v>64</v>
      </c>
      <c r="I108" s="52"/>
      <c r="J108" s="53"/>
      <c r="K108" s="52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7.399999999999999">
      <c r="A109" s="48"/>
      <c r="B109" s="49">
        <v>100</v>
      </c>
      <c r="C109" s="49" t="s">
        <v>353</v>
      </c>
      <c r="D109" s="49" t="s">
        <v>399</v>
      </c>
      <c r="E109" s="50" t="s">
        <v>400</v>
      </c>
      <c r="F109" s="50" t="s">
        <v>401</v>
      </c>
      <c r="G109" s="50" t="s">
        <v>402</v>
      </c>
      <c r="H109" s="51" t="s">
        <v>64</v>
      </c>
      <c r="I109" s="52"/>
      <c r="J109" s="53"/>
      <c r="K109" s="52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7.399999999999999">
      <c r="A110" s="48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7.399999999999999">
      <c r="A111" s="40"/>
      <c r="B111" s="55"/>
      <c r="C111" s="55"/>
      <c r="D111" s="55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7.399999999999999">
      <c r="A112" s="40"/>
      <c r="B112" s="55"/>
      <c r="C112" s="55"/>
      <c r="D112" s="55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7.399999999999999">
      <c r="A113" s="40"/>
      <c r="B113" s="55"/>
      <c r="C113" s="55"/>
      <c r="D113" s="55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7.399999999999999">
      <c r="A114" s="40"/>
      <c r="B114" s="55"/>
      <c r="C114" s="55"/>
      <c r="D114" s="55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7.399999999999999">
      <c r="A115" s="40"/>
      <c r="B115" s="55"/>
      <c r="C115" s="55"/>
      <c r="D115" s="55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7.399999999999999">
      <c r="A116" s="40"/>
      <c r="B116" s="55"/>
      <c r="C116" s="55"/>
      <c r="D116" s="55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7.399999999999999">
      <c r="A117" s="40"/>
      <c r="B117" s="55"/>
      <c r="C117" s="55"/>
      <c r="D117" s="55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7.399999999999999">
      <c r="A118" s="40"/>
      <c r="B118" s="55"/>
      <c r="C118" s="55"/>
      <c r="D118" s="55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7.399999999999999">
      <c r="A119" s="40"/>
      <c r="B119" s="55"/>
      <c r="C119" s="55"/>
      <c r="D119" s="55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7.399999999999999">
      <c r="A120" s="40"/>
      <c r="B120" s="55"/>
      <c r="C120" s="55"/>
      <c r="D120" s="55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7.399999999999999">
      <c r="A121" s="40"/>
      <c r="B121" s="55"/>
      <c r="C121" s="55"/>
      <c r="D121" s="5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7.399999999999999">
      <c r="A122" s="40"/>
      <c r="B122" s="55"/>
      <c r="C122" s="55"/>
      <c r="D122" s="5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7.399999999999999">
      <c r="A123" s="40"/>
      <c r="B123" s="55"/>
      <c r="C123" s="55"/>
      <c r="D123" s="5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7.399999999999999">
      <c r="A124" s="40"/>
      <c r="B124" s="55"/>
      <c r="C124" s="55"/>
      <c r="D124" s="5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7.399999999999999">
      <c r="A125" s="40"/>
      <c r="B125" s="55"/>
      <c r="C125" s="55"/>
      <c r="D125" s="5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7.399999999999999">
      <c r="A126" s="40"/>
      <c r="B126" s="55"/>
      <c r="C126" s="55"/>
      <c r="D126" s="5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7.399999999999999">
      <c r="A127" s="40"/>
      <c r="B127" s="55"/>
      <c r="C127" s="55"/>
      <c r="D127" s="55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7.399999999999999">
      <c r="A128" s="40"/>
      <c r="B128" s="55"/>
      <c r="C128" s="55"/>
      <c r="D128" s="55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7.399999999999999">
      <c r="A129" s="40"/>
      <c r="B129" s="55"/>
      <c r="C129" s="55"/>
      <c r="D129" s="55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7.399999999999999">
      <c r="A130" s="40"/>
      <c r="B130" s="55"/>
      <c r="C130" s="55"/>
      <c r="D130" s="55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7.399999999999999">
      <c r="A131" s="40"/>
      <c r="B131" s="55"/>
      <c r="C131" s="55"/>
      <c r="D131" s="55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7.399999999999999">
      <c r="A132" s="40"/>
      <c r="B132" s="55"/>
      <c r="C132" s="55"/>
      <c r="D132" s="55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7.399999999999999">
      <c r="A133" s="40"/>
      <c r="B133" s="55"/>
      <c r="C133" s="55"/>
      <c r="D133" s="55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7.399999999999999">
      <c r="A134" s="40"/>
      <c r="B134" s="55"/>
      <c r="C134" s="55"/>
      <c r="D134" s="55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7.399999999999999">
      <c r="A135" s="40"/>
      <c r="B135" s="55"/>
      <c r="C135" s="55"/>
      <c r="D135" s="55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7.399999999999999">
      <c r="A136" s="40"/>
      <c r="B136" s="55"/>
      <c r="C136" s="55"/>
      <c r="D136" s="55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7.399999999999999">
      <c r="A137" s="40"/>
      <c r="B137" s="55"/>
      <c r="C137" s="55"/>
      <c r="D137" s="55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7.399999999999999">
      <c r="A138" s="40"/>
      <c r="B138" s="55"/>
      <c r="C138" s="55"/>
      <c r="D138" s="55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7.399999999999999">
      <c r="A139" s="40"/>
      <c r="B139" s="55"/>
      <c r="C139" s="55"/>
      <c r="D139" s="55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7.399999999999999">
      <c r="A140" s="40"/>
      <c r="B140" s="55"/>
      <c r="C140" s="55"/>
      <c r="D140" s="55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7.399999999999999">
      <c r="A141" s="40"/>
      <c r="B141" s="55"/>
      <c r="C141" s="55"/>
      <c r="D141" s="55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7.399999999999999">
      <c r="A142" s="40"/>
      <c r="B142" s="55"/>
      <c r="C142" s="55"/>
      <c r="D142" s="55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7.399999999999999">
      <c r="A143" s="40"/>
      <c r="B143" s="55"/>
      <c r="C143" s="55"/>
      <c r="D143" s="55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7.399999999999999">
      <c r="A144" s="40"/>
      <c r="B144" s="55"/>
      <c r="C144" s="55"/>
      <c r="D144" s="55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7.399999999999999">
      <c r="A145" s="40"/>
      <c r="B145" s="55"/>
      <c r="C145" s="55"/>
      <c r="D145" s="55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7.399999999999999">
      <c r="A146" s="40"/>
      <c r="B146" s="55"/>
      <c r="C146" s="55"/>
      <c r="D146" s="55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7.399999999999999">
      <c r="A147" s="40"/>
      <c r="B147" s="55"/>
      <c r="C147" s="55"/>
      <c r="D147" s="55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7.399999999999999">
      <c r="A148" s="40"/>
      <c r="B148" s="55"/>
      <c r="C148" s="55"/>
      <c r="D148" s="55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7.399999999999999">
      <c r="A149" s="40"/>
      <c r="B149" s="55"/>
      <c r="C149" s="55"/>
      <c r="D149" s="55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7.399999999999999">
      <c r="A150" s="40"/>
      <c r="B150" s="55"/>
      <c r="C150" s="55"/>
      <c r="D150" s="55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7.399999999999999">
      <c r="A151" s="40"/>
      <c r="B151" s="55"/>
      <c r="C151" s="55"/>
      <c r="D151" s="55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7.399999999999999">
      <c r="A152" s="40"/>
      <c r="B152" s="55"/>
      <c r="C152" s="55"/>
      <c r="D152" s="55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7.399999999999999">
      <c r="A153" s="40"/>
      <c r="B153" s="55"/>
      <c r="C153" s="55"/>
      <c r="D153" s="55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7.399999999999999">
      <c r="A154" s="40"/>
      <c r="B154" s="55"/>
      <c r="C154" s="55"/>
      <c r="D154" s="55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7.399999999999999">
      <c r="A155" s="40"/>
      <c r="B155" s="55"/>
      <c r="C155" s="55"/>
      <c r="D155" s="55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7.399999999999999">
      <c r="A156" s="40"/>
      <c r="B156" s="55"/>
      <c r="C156" s="55"/>
      <c r="D156" s="55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7.399999999999999">
      <c r="A157" s="40"/>
      <c r="B157" s="55"/>
      <c r="C157" s="55"/>
      <c r="D157" s="55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7.399999999999999">
      <c r="A158" s="40"/>
      <c r="B158" s="55"/>
      <c r="C158" s="55"/>
      <c r="D158" s="55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7.399999999999999">
      <c r="A159" s="40"/>
      <c r="B159" s="55"/>
      <c r="C159" s="55"/>
      <c r="D159" s="55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7.399999999999999">
      <c r="A160" s="40"/>
      <c r="B160" s="55"/>
      <c r="C160" s="55"/>
      <c r="D160" s="55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7.399999999999999">
      <c r="A161" s="40"/>
      <c r="B161" s="55"/>
      <c r="C161" s="55"/>
      <c r="D161" s="55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7.399999999999999">
      <c r="A162" s="40"/>
      <c r="B162" s="55"/>
      <c r="C162" s="55"/>
      <c r="D162" s="55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7.399999999999999">
      <c r="A163" s="40"/>
      <c r="B163" s="55"/>
      <c r="C163" s="55"/>
      <c r="D163" s="55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7.399999999999999">
      <c r="A164" s="40"/>
      <c r="B164" s="55"/>
      <c r="C164" s="55"/>
      <c r="D164" s="55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7.399999999999999">
      <c r="A165" s="40"/>
      <c r="B165" s="55"/>
      <c r="C165" s="55"/>
      <c r="D165" s="55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7.399999999999999">
      <c r="A166" s="40"/>
      <c r="B166" s="55"/>
      <c r="C166" s="55"/>
      <c r="D166" s="55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7.399999999999999">
      <c r="A167" s="40"/>
      <c r="B167" s="55"/>
      <c r="C167" s="55"/>
      <c r="D167" s="55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7.399999999999999">
      <c r="A168" s="40"/>
      <c r="B168" s="55"/>
      <c r="C168" s="55"/>
      <c r="D168" s="55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7.399999999999999">
      <c r="A169" s="40"/>
      <c r="B169" s="55"/>
      <c r="C169" s="55"/>
      <c r="D169" s="55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7.399999999999999">
      <c r="A170" s="40"/>
      <c r="B170" s="55"/>
      <c r="C170" s="55"/>
      <c r="D170" s="55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7.399999999999999">
      <c r="A171" s="40"/>
      <c r="B171" s="55"/>
      <c r="C171" s="55"/>
      <c r="D171" s="55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7.399999999999999">
      <c r="A172" s="40"/>
      <c r="B172" s="55"/>
      <c r="C172" s="55"/>
      <c r="D172" s="55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7.399999999999999">
      <c r="A173" s="40"/>
      <c r="B173" s="55"/>
      <c r="C173" s="55"/>
      <c r="D173" s="55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7.399999999999999">
      <c r="A174" s="40"/>
      <c r="B174" s="55"/>
      <c r="C174" s="55"/>
      <c r="D174" s="55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7.399999999999999">
      <c r="A175" s="40"/>
      <c r="B175" s="55"/>
      <c r="C175" s="55"/>
      <c r="D175" s="55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7.399999999999999">
      <c r="A176" s="40"/>
      <c r="B176" s="55"/>
      <c r="C176" s="55"/>
      <c r="D176" s="55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7.399999999999999">
      <c r="A177" s="40"/>
      <c r="B177" s="55"/>
      <c r="C177" s="55"/>
      <c r="D177" s="55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7.399999999999999">
      <c r="A178" s="40"/>
      <c r="B178" s="55"/>
      <c r="C178" s="55"/>
      <c r="D178" s="55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7.399999999999999">
      <c r="A179" s="40"/>
      <c r="B179" s="55"/>
      <c r="C179" s="55"/>
      <c r="D179" s="55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7.399999999999999">
      <c r="A180" s="40"/>
      <c r="B180" s="55"/>
      <c r="C180" s="55"/>
      <c r="D180" s="55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7.399999999999999">
      <c r="A181" s="40"/>
      <c r="B181" s="55"/>
      <c r="C181" s="55"/>
      <c r="D181" s="55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7.399999999999999">
      <c r="A182" s="40"/>
      <c r="B182" s="55"/>
      <c r="C182" s="55"/>
      <c r="D182" s="55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7.399999999999999">
      <c r="A183" s="40"/>
      <c r="B183" s="55"/>
      <c r="C183" s="55"/>
      <c r="D183" s="55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7.399999999999999">
      <c r="A184" s="40"/>
      <c r="B184" s="55"/>
      <c r="C184" s="55"/>
      <c r="D184" s="55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7.399999999999999">
      <c r="A185" s="40"/>
      <c r="B185" s="55"/>
      <c r="C185" s="55"/>
      <c r="D185" s="55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7.399999999999999">
      <c r="A186" s="40"/>
      <c r="B186" s="55"/>
      <c r="C186" s="55"/>
      <c r="D186" s="55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7.399999999999999">
      <c r="A187" s="40"/>
      <c r="B187" s="55"/>
      <c r="C187" s="55"/>
      <c r="D187" s="55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7.399999999999999">
      <c r="A188" s="40"/>
      <c r="B188" s="55"/>
      <c r="C188" s="55"/>
      <c r="D188" s="55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7.399999999999999">
      <c r="A189" s="40"/>
      <c r="B189" s="55"/>
      <c r="C189" s="55"/>
      <c r="D189" s="55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7.399999999999999">
      <c r="A190" s="40"/>
      <c r="B190" s="55"/>
      <c r="C190" s="55"/>
      <c r="D190" s="55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7.399999999999999">
      <c r="A191" s="40"/>
      <c r="B191" s="55"/>
      <c r="C191" s="55"/>
      <c r="D191" s="55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7.399999999999999">
      <c r="A192" s="40"/>
      <c r="B192" s="55"/>
      <c r="C192" s="55"/>
      <c r="D192" s="55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7.399999999999999">
      <c r="A193" s="40"/>
      <c r="B193" s="55"/>
      <c r="C193" s="55"/>
      <c r="D193" s="55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7.399999999999999">
      <c r="A194" s="40"/>
      <c r="B194" s="55"/>
      <c r="C194" s="55"/>
      <c r="D194" s="55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7.399999999999999">
      <c r="A195" s="40"/>
      <c r="B195" s="55"/>
      <c r="C195" s="55"/>
      <c r="D195" s="55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7.399999999999999">
      <c r="A196" s="40"/>
      <c r="B196" s="55"/>
      <c r="C196" s="55"/>
      <c r="D196" s="55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7.399999999999999">
      <c r="A197" s="40"/>
      <c r="B197" s="55"/>
      <c r="C197" s="55"/>
      <c r="D197" s="55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7.399999999999999">
      <c r="A198" s="40"/>
      <c r="B198" s="55"/>
      <c r="C198" s="55"/>
      <c r="D198" s="55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7.399999999999999">
      <c r="A199" s="40"/>
      <c r="B199" s="55"/>
      <c r="C199" s="55"/>
      <c r="D199" s="55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7.399999999999999">
      <c r="A200" s="40"/>
      <c r="B200" s="55"/>
      <c r="C200" s="55"/>
      <c r="D200" s="55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7.399999999999999">
      <c r="A201" s="40"/>
      <c r="B201" s="55"/>
      <c r="C201" s="55"/>
      <c r="D201" s="55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7.399999999999999">
      <c r="A202" s="40"/>
      <c r="B202" s="55"/>
      <c r="C202" s="55"/>
      <c r="D202" s="55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7.399999999999999">
      <c r="A203" s="40"/>
      <c r="B203" s="55"/>
      <c r="C203" s="55"/>
      <c r="D203" s="55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7.399999999999999">
      <c r="A204" s="40"/>
      <c r="B204" s="55"/>
      <c r="C204" s="55"/>
      <c r="D204" s="55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7.399999999999999">
      <c r="A205" s="40"/>
      <c r="B205" s="55"/>
      <c r="C205" s="55"/>
      <c r="D205" s="55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7.399999999999999">
      <c r="A206" s="40"/>
      <c r="B206" s="55"/>
      <c r="C206" s="55"/>
      <c r="D206" s="55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7.399999999999999">
      <c r="A207" s="40"/>
      <c r="B207" s="55"/>
      <c r="C207" s="55"/>
      <c r="D207" s="55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7.399999999999999">
      <c r="A208" s="40"/>
      <c r="B208" s="55"/>
      <c r="C208" s="55"/>
      <c r="D208" s="55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7.399999999999999">
      <c r="A209" s="40"/>
      <c r="B209" s="55"/>
      <c r="C209" s="55"/>
      <c r="D209" s="55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7.399999999999999">
      <c r="A210" s="40"/>
      <c r="B210" s="55"/>
      <c r="C210" s="55"/>
      <c r="D210" s="55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7.399999999999999">
      <c r="A211" s="40"/>
      <c r="B211" s="55"/>
      <c r="C211" s="55"/>
      <c r="D211" s="55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7.399999999999999">
      <c r="A212" s="40"/>
      <c r="B212" s="55"/>
      <c r="C212" s="55"/>
      <c r="D212" s="55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7.399999999999999">
      <c r="A213" s="40"/>
      <c r="B213" s="55"/>
      <c r="C213" s="55"/>
      <c r="D213" s="55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7.399999999999999">
      <c r="A214" s="40"/>
      <c r="B214" s="55"/>
      <c r="C214" s="55"/>
      <c r="D214" s="55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7.399999999999999">
      <c r="A215" s="40"/>
      <c r="B215" s="55"/>
      <c r="C215" s="55"/>
      <c r="D215" s="55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7.399999999999999">
      <c r="A216" s="40"/>
      <c r="B216" s="55"/>
      <c r="C216" s="55"/>
      <c r="D216" s="55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7.399999999999999">
      <c r="A217" s="40"/>
      <c r="B217" s="55"/>
      <c r="C217" s="55"/>
      <c r="D217" s="55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7.399999999999999">
      <c r="A218" s="40"/>
      <c r="B218" s="55"/>
      <c r="C218" s="55"/>
      <c r="D218" s="55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7.399999999999999">
      <c r="A219" s="40"/>
      <c r="B219" s="55"/>
      <c r="C219" s="55"/>
      <c r="D219" s="55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7.399999999999999">
      <c r="A220" s="40"/>
      <c r="B220" s="55"/>
      <c r="C220" s="55"/>
      <c r="D220" s="55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7.399999999999999">
      <c r="A221" s="40"/>
      <c r="B221" s="55"/>
      <c r="C221" s="55"/>
      <c r="D221" s="55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7.399999999999999">
      <c r="A222" s="40"/>
      <c r="B222" s="55"/>
      <c r="C222" s="55"/>
      <c r="D222" s="55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7.399999999999999">
      <c r="A223" s="40"/>
      <c r="B223" s="55"/>
      <c r="C223" s="55"/>
      <c r="D223" s="55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7.399999999999999">
      <c r="A224" s="40"/>
      <c r="B224" s="55"/>
      <c r="C224" s="55"/>
      <c r="D224" s="55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7.399999999999999">
      <c r="A225" s="40"/>
      <c r="B225" s="55"/>
      <c r="C225" s="55"/>
      <c r="D225" s="55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7.399999999999999">
      <c r="A226" s="40"/>
      <c r="B226" s="55"/>
      <c r="C226" s="55"/>
      <c r="D226" s="55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7.399999999999999">
      <c r="A227" s="40"/>
      <c r="B227" s="55"/>
      <c r="C227" s="55"/>
      <c r="D227" s="55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7.399999999999999">
      <c r="A228" s="40"/>
      <c r="B228" s="55"/>
      <c r="C228" s="55"/>
      <c r="D228" s="55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7.399999999999999">
      <c r="A229" s="40"/>
      <c r="B229" s="55"/>
      <c r="C229" s="55"/>
      <c r="D229" s="55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7.399999999999999">
      <c r="A230" s="40"/>
      <c r="B230" s="55"/>
      <c r="C230" s="55"/>
      <c r="D230" s="55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7.399999999999999">
      <c r="A231" s="40"/>
      <c r="B231" s="55"/>
      <c r="C231" s="55"/>
      <c r="D231" s="55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7.399999999999999">
      <c r="A232" s="40"/>
      <c r="B232" s="55"/>
      <c r="C232" s="55"/>
      <c r="D232" s="55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7.399999999999999">
      <c r="A233" s="40"/>
      <c r="B233" s="55"/>
      <c r="C233" s="55"/>
      <c r="D233" s="55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7.399999999999999">
      <c r="A234" s="40"/>
      <c r="B234" s="55"/>
      <c r="C234" s="55"/>
      <c r="D234" s="55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7.399999999999999">
      <c r="A235" s="40"/>
      <c r="B235" s="55"/>
      <c r="C235" s="55"/>
      <c r="D235" s="55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7.399999999999999">
      <c r="A236" s="40"/>
      <c r="B236" s="55"/>
      <c r="C236" s="55"/>
      <c r="D236" s="55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7.399999999999999">
      <c r="A237" s="40"/>
      <c r="B237" s="55"/>
      <c r="C237" s="55"/>
      <c r="D237" s="55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7.399999999999999">
      <c r="A238" s="40"/>
      <c r="B238" s="55"/>
      <c r="C238" s="55"/>
      <c r="D238" s="55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7.399999999999999">
      <c r="A239" s="40"/>
      <c r="B239" s="55"/>
      <c r="C239" s="55"/>
      <c r="D239" s="55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7.399999999999999">
      <c r="A240" s="40"/>
      <c r="B240" s="55"/>
      <c r="C240" s="55"/>
      <c r="D240" s="55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7.399999999999999">
      <c r="A241" s="40"/>
      <c r="B241" s="55"/>
      <c r="C241" s="55"/>
      <c r="D241" s="55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7.399999999999999">
      <c r="A242" s="40"/>
      <c r="B242" s="55"/>
      <c r="C242" s="55"/>
      <c r="D242" s="55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7.399999999999999">
      <c r="A243" s="40"/>
      <c r="B243" s="55"/>
      <c r="C243" s="55"/>
      <c r="D243" s="55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7.399999999999999">
      <c r="A244" s="40"/>
      <c r="B244" s="55"/>
      <c r="C244" s="55"/>
      <c r="D244" s="55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7.399999999999999">
      <c r="A245" s="40"/>
      <c r="B245" s="55"/>
      <c r="C245" s="55"/>
      <c r="D245" s="55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7.399999999999999">
      <c r="A246" s="40"/>
      <c r="B246" s="55"/>
      <c r="C246" s="55"/>
      <c r="D246" s="55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7.399999999999999">
      <c r="A247" s="40"/>
      <c r="B247" s="55"/>
      <c r="C247" s="55"/>
      <c r="D247" s="55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7.399999999999999">
      <c r="A248" s="40"/>
      <c r="B248" s="55"/>
      <c r="C248" s="55"/>
      <c r="D248" s="55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7.399999999999999">
      <c r="A249" s="40"/>
      <c r="B249" s="55"/>
      <c r="C249" s="55"/>
      <c r="D249" s="55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7.399999999999999">
      <c r="A250" s="40"/>
      <c r="B250" s="55"/>
      <c r="C250" s="55"/>
      <c r="D250" s="55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7.399999999999999">
      <c r="A251" s="40"/>
      <c r="B251" s="55"/>
      <c r="C251" s="55"/>
      <c r="D251" s="55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7.399999999999999">
      <c r="A252" s="40"/>
      <c r="B252" s="55"/>
      <c r="C252" s="55"/>
      <c r="D252" s="55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7.399999999999999">
      <c r="A253" s="40"/>
      <c r="B253" s="55"/>
      <c r="C253" s="55"/>
      <c r="D253" s="55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7.399999999999999">
      <c r="A254" s="40"/>
      <c r="B254" s="55"/>
      <c r="C254" s="55"/>
      <c r="D254" s="55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7.399999999999999">
      <c r="A255" s="40"/>
      <c r="B255" s="55"/>
      <c r="C255" s="55"/>
      <c r="D255" s="55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7.399999999999999">
      <c r="A256" s="40"/>
      <c r="B256" s="55"/>
      <c r="C256" s="55"/>
      <c r="D256" s="55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7.399999999999999">
      <c r="A257" s="40"/>
      <c r="B257" s="55"/>
      <c r="C257" s="55"/>
      <c r="D257" s="55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7.399999999999999">
      <c r="A258" s="40"/>
      <c r="B258" s="55"/>
      <c r="C258" s="55"/>
      <c r="D258" s="55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7.399999999999999">
      <c r="A259" s="40"/>
      <c r="B259" s="55"/>
      <c r="C259" s="55"/>
      <c r="D259" s="55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7.399999999999999">
      <c r="A260" s="40"/>
      <c r="B260" s="55"/>
      <c r="C260" s="55"/>
      <c r="D260" s="55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7.399999999999999">
      <c r="A261" s="40"/>
      <c r="B261" s="55"/>
      <c r="C261" s="55"/>
      <c r="D261" s="55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7.399999999999999">
      <c r="A262" s="40"/>
      <c r="B262" s="55"/>
      <c r="C262" s="55"/>
      <c r="D262" s="55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7.399999999999999">
      <c r="A263" s="40"/>
      <c r="B263" s="55"/>
      <c r="C263" s="55"/>
      <c r="D263" s="55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7.399999999999999">
      <c r="A264" s="40"/>
      <c r="B264" s="55"/>
      <c r="C264" s="55"/>
      <c r="D264" s="55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7.399999999999999">
      <c r="A265" s="40"/>
      <c r="B265" s="55"/>
      <c r="C265" s="55"/>
      <c r="D265" s="55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7.399999999999999">
      <c r="A266" s="40"/>
      <c r="B266" s="55"/>
      <c r="C266" s="55"/>
      <c r="D266" s="55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7.399999999999999">
      <c r="A267" s="40"/>
      <c r="B267" s="55"/>
      <c r="C267" s="55"/>
      <c r="D267" s="55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7.399999999999999">
      <c r="A268" s="40"/>
      <c r="B268" s="55"/>
      <c r="C268" s="55"/>
      <c r="D268" s="55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7.399999999999999">
      <c r="A269" s="40"/>
      <c r="B269" s="55"/>
      <c r="C269" s="55"/>
      <c r="D269" s="55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7.399999999999999">
      <c r="A270" s="40"/>
      <c r="B270" s="55"/>
      <c r="C270" s="55"/>
      <c r="D270" s="55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7.399999999999999">
      <c r="A271" s="40"/>
      <c r="B271" s="55"/>
      <c r="C271" s="55"/>
      <c r="D271" s="55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7.399999999999999">
      <c r="A272" s="40"/>
      <c r="B272" s="55"/>
      <c r="C272" s="55"/>
      <c r="D272" s="55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7.399999999999999">
      <c r="A273" s="40"/>
      <c r="B273" s="55"/>
      <c r="C273" s="55"/>
      <c r="D273" s="55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7.399999999999999">
      <c r="A274" s="40"/>
      <c r="B274" s="55"/>
      <c r="C274" s="55"/>
      <c r="D274" s="55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7.399999999999999">
      <c r="A275" s="40"/>
      <c r="B275" s="55"/>
      <c r="C275" s="55"/>
      <c r="D275" s="55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7.399999999999999">
      <c r="A276" s="40"/>
      <c r="B276" s="55"/>
      <c r="C276" s="55"/>
      <c r="D276" s="55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7.399999999999999">
      <c r="A277" s="40"/>
      <c r="B277" s="55"/>
      <c r="C277" s="55"/>
      <c r="D277" s="55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7.399999999999999">
      <c r="A278" s="40"/>
      <c r="B278" s="55"/>
      <c r="C278" s="55"/>
      <c r="D278" s="55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7.399999999999999">
      <c r="A279" s="40"/>
      <c r="B279" s="55"/>
      <c r="C279" s="55"/>
      <c r="D279" s="55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7.399999999999999">
      <c r="A280" s="40"/>
      <c r="B280" s="55"/>
      <c r="C280" s="55"/>
      <c r="D280" s="55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7.399999999999999">
      <c r="A281" s="40"/>
      <c r="B281" s="55"/>
      <c r="C281" s="55"/>
      <c r="D281" s="55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7.399999999999999">
      <c r="A282" s="40"/>
      <c r="B282" s="55"/>
      <c r="C282" s="55"/>
      <c r="D282" s="55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7.399999999999999">
      <c r="A283" s="40"/>
      <c r="B283" s="55"/>
      <c r="C283" s="55"/>
      <c r="D283" s="55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7.399999999999999">
      <c r="A284" s="40"/>
      <c r="B284" s="55"/>
      <c r="C284" s="55"/>
      <c r="D284" s="55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7.399999999999999">
      <c r="A285" s="40"/>
      <c r="B285" s="55"/>
      <c r="C285" s="55"/>
      <c r="D285" s="55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7.399999999999999">
      <c r="A286" s="40"/>
      <c r="B286" s="55"/>
      <c r="C286" s="55"/>
      <c r="D286" s="55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7.399999999999999">
      <c r="A287" s="40"/>
      <c r="B287" s="55"/>
      <c r="C287" s="55"/>
      <c r="D287" s="55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7.399999999999999">
      <c r="A288" s="40"/>
      <c r="B288" s="55"/>
      <c r="C288" s="55"/>
      <c r="D288" s="55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7.399999999999999">
      <c r="A289" s="40"/>
      <c r="B289" s="55"/>
      <c r="C289" s="55"/>
      <c r="D289" s="55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7.399999999999999">
      <c r="A290" s="40"/>
      <c r="B290" s="55"/>
      <c r="C290" s="55"/>
      <c r="D290" s="55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7.399999999999999">
      <c r="A291" s="40"/>
      <c r="B291" s="55"/>
      <c r="C291" s="55"/>
      <c r="D291" s="55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7.399999999999999">
      <c r="A292" s="40"/>
      <c r="B292" s="55"/>
      <c r="C292" s="55"/>
      <c r="D292" s="55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7.399999999999999">
      <c r="A293" s="40"/>
      <c r="B293" s="55"/>
      <c r="C293" s="55"/>
      <c r="D293" s="55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7.399999999999999">
      <c r="A294" s="40"/>
      <c r="B294" s="55"/>
      <c r="C294" s="55"/>
      <c r="D294" s="55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7.399999999999999">
      <c r="A295" s="40"/>
      <c r="B295" s="55"/>
      <c r="C295" s="55"/>
      <c r="D295" s="55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7.399999999999999">
      <c r="A296" s="40"/>
      <c r="B296" s="55"/>
      <c r="C296" s="55"/>
      <c r="D296" s="55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7.399999999999999">
      <c r="A297" s="40"/>
      <c r="B297" s="55"/>
      <c r="C297" s="55"/>
      <c r="D297" s="55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7.399999999999999">
      <c r="A298" s="40"/>
      <c r="B298" s="55"/>
      <c r="C298" s="55"/>
      <c r="D298" s="55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7.399999999999999">
      <c r="A299" s="40"/>
      <c r="B299" s="55"/>
      <c r="C299" s="55"/>
      <c r="D299" s="55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7.399999999999999">
      <c r="A300" s="40"/>
      <c r="B300" s="55"/>
      <c r="C300" s="55"/>
      <c r="D300" s="55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7.399999999999999">
      <c r="A301" s="40"/>
      <c r="B301" s="55"/>
      <c r="C301" s="55"/>
      <c r="D301" s="55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7.399999999999999">
      <c r="A302" s="40"/>
      <c r="B302" s="55"/>
      <c r="C302" s="55"/>
      <c r="D302" s="55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7.399999999999999">
      <c r="A303" s="40"/>
      <c r="B303" s="55"/>
      <c r="C303" s="55"/>
      <c r="D303" s="55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7.399999999999999">
      <c r="A304" s="40"/>
      <c r="B304" s="55"/>
      <c r="C304" s="55"/>
      <c r="D304" s="55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7.399999999999999">
      <c r="A305" s="40"/>
      <c r="B305" s="55"/>
      <c r="C305" s="55"/>
      <c r="D305" s="55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7.399999999999999">
      <c r="A306" s="40"/>
      <c r="B306" s="55"/>
      <c r="C306" s="55"/>
      <c r="D306" s="55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7.399999999999999">
      <c r="A307" s="40"/>
      <c r="B307" s="55"/>
      <c r="C307" s="55"/>
      <c r="D307" s="55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7.399999999999999">
      <c r="A308" s="40"/>
      <c r="B308" s="55"/>
      <c r="C308" s="55"/>
      <c r="D308" s="55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7.399999999999999">
      <c r="A309" s="40"/>
      <c r="B309" s="55"/>
      <c r="C309" s="55"/>
      <c r="D309" s="55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7.399999999999999">
      <c r="A310" s="40"/>
      <c r="B310" s="55"/>
      <c r="C310" s="55"/>
      <c r="D310" s="55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7.399999999999999">
      <c r="A311" s="40"/>
      <c r="B311" s="55"/>
      <c r="C311" s="55"/>
      <c r="D311" s="55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7.399999999999999">
      <c r="A312" s="40"/>
      <c r="B312" s="55"/>
      <c r="C312" s="55"/>
      <c r="D312" s="55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7.399999999999999">
      <c r="A313" s="40"/>
      <c r="B313" s="55"/>
      <c r="C313" s="55"/>
      <c r="D313" s="55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7.399999999999999">
      <c r="A314" s="40"/>
      <c r="B314" s="55"/>
      <c r="C314" s="55"/>
      <c r="D314" s="55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7.399999999999999">
      <c r="A315" s="40"/>
      <c r="B315" s="55"/>
      <c r="C315" s="55"/>
      <c r="D315" s="55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7.399999999999999">
      <c r="A316" s="40"/>
      <c r="B316" s="55"/>
      <c r="C316" s="55"/>
      <c r="D316" s="55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7.399999999999999">
      <c r="A317" s="40"/>
      <c r="B317" s="55"/>
      <c r="C317" s="55"/>
      <c r="D317" s="55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7.399999999999999">
      <c r="A318" s="40"/>
      <c r="B318" s="55"/>
      <c r="C318" s="55"/>
      <c r="D318" s="55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7.399999999999999">
      <c r="A319" s="40"/>
      <c r="B319" s="55"/>
      <c r="C319" s="55"/>
      <c r="D319" s="55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7.399999999999999">
      <c r="A320" s="40"/>
      <c r="B320" s="55"/>
      <c r="C320" s="55"/>
      <c r="D320" s="55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7.399999999999999">
      <c r="A321" s="40"/>
      <c r="B321" s="55"/>
      <c r="C321" s="55"/>
      <c r="D321" s="55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7.399999999999999">
      <c r="A322" s="40"/>
      <c r="B322" s="55"/>
      <c r="C322" s="55"/>
      <c r="D322" s="55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7.399999999999999">
      <c r="A323" s="40"/>
      <c r="B323" s="55"/>
      <c r="C323" s="55"/>
      <c r="D323" s="55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7.399999999999999">
      <c r="A324" s="40"/>
      <c r="B324" s="55"/>
      <c r="C324" s="55"/>
      <c r="D324" s="55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7.399999999999999">
      <c r="A325" s="40"/>
      <c r="B325" s="55"/>
      <c r="C325" s="55"/>
      <c r="D325" s="55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7.399999999999999">
      <c r="A326" s="40"/>
      <c r="B326" s="55"/>
      <c r="C326" s="55"/>
      <c r="D326" s="55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7.399999999999999">
      <c r="A327" s="40"/>
      <c r="B327" s="55"/>
      <c r="C327" s="55"/>
      <c r="D327" s="55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7.399999999999999">
      <c r="A328" s="40"/>
      <c r="B328" s="55"/>
      <c r="C328" s="55"/>
      <c r="D328" s="55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7.399999999999999">
      <c r="A329" s="40"/>
      <c r="B329" s="55"/>
      <c r="C329" s="55"/>
      <c r="D329" s="55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7.399999999999999">
      <c r="A330" s="40"/>
      <c r="B330" s="55"/>
      <c r="C330" s="55"/>
      <c r="D330" s="55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7.399999999999999">
      <c r="A331" s="40"/>
      <c r="B331" s="55"/>
      <c r="C331" s="55"/>
      <c r="D331" s="55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7.399999999999999">
      <c r="A332" s="40"/>
      <c r="B332" s="55"/>
      <c r="C332" s="55"/>
      <c r="D332" s="55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7.399999999999999">
      <c r="A333" s="40"/>
      <c r="B333" s="55"/>
      <c r="C333" s="55"/>
      <c r="D333" s="55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7.399999999999999">
      <c r="A334" s="40"/>
      <c r="B334" s="55"/>
      <c r="C334" s="55"/>
      <c r="D334" s="55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7.399999999999999">
      <c r="A335" s="40"/>
      <c r="B335" s="55"/>
      <c r="C335" s="55"/>
      <c r="D335" s="55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7.399999999999999">
      <c r="A336" s="40"/>
      <c r="B336" s="55"/>
      <c r="C336" s="55"/>
      <c r="D336" s="55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7.399999999999999">
      <c r="A337" s="40"/>
      <c r="B337" s="55"/>
      <c r="C337" s="55"/>
      <c r="D337" s="55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7.399999999999999">
      <c r="A338" s="40"/>
      <c r="B338" s="55"/>
      <c r="C338" s="55"/>
      <c r="D338" s="55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7.399999999999999">
      <c r="A339" s="40"/>
      <c r="B339" s="55"/>
      <c r="C339" s="55"/>
      <c r="D339" s="55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7.399999999999999">
      <c r="A340" s="40"/>
      <c r="B340" s="55"/>
      <c r="C340" s="55"/>
      <c r="D340" s="55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7.399999999999999">
      <c r="A341" s="40"/>
      <c r="B341" s="55"/>
      <c r="C341" s="55"/>
      <c r="D341" s="55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7.399999999999999">
      <c r="A342" s="40"/>
      <c r="B342" s="55"/>
      <c r="C342" s="55"/>
      <c r="D342" s="55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7.399999999999999">
      <c r="A343" s="40"/>
      <c r="B343" s="55"/>
      <c r="C343" s="55"/>
      <c r="D343" s="55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7.399999999999999">
      <c r="A344" s="40"/>
      <c r="B344" s="55"/>
      <c r="C344" s="55"/>
      <c r="D344" s="55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7.399999999999999">
      <c r="A345" s="40"/>
      <c r="B345" s="55"/>
      <c r="C345" s="55"/>
      <c r="D345" s="55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7.399999999999999">
      <c r="A346" s="40"/>
      <c r="B346" s="55"/>
      <c r="C346" s="55"/>
      <c r="D346" s="55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7.399999999999999">
      <c r="A347" s="40"/>
      <c r="B347" s="55"/>
      <c r="C347" s="55"/>
      <c r="D347" s="55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7.399999999999999">
      <c r="A348" s="40"/>
      <c r="B348" s="55"/>
      <c r="C348" s="55"/>
      <c r="D348" s="55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7.399999999999999">
      <c r="A349" s="40"/>
      <c r="B349" s="55"/>
      <c r="C349" s="55"/>
      <c r="D349" s="55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7.399999999999999">
      <c r="A350" s="40"/>
      <c r="B350" s="55"/>
      <c r="C350" s="55"/>
      <c r="D350" s="55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7.399999999999999">
      <c r="A351" s="40"/>
      <c r="B351" s="55"/>
      <c r="C351" s="55"/>
      <c r="D351" s="55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7.399999999999999">
      <c r="A352" s="40"/>
      <c r="B352" s="55"/>
      <c r="C352" s="55"/>
      <c r="D352" s="55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7.399999999999999">
      <c r="A353" s="40"/>
      <c r="B353" s="55"/>
      <c r="C353" s="55"/>
      <c r="D353" s="55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7.399999999999999">
      <c r="A354" s="40"/>
      <c r="B354" s="55"/>
      <c r="C354" s="55"/>
      <c r="D354" s="55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7.399999999999999">
      <c r="A355" s="40"/>
      <c r="B355" s="55"/>
      <c r="C355" s="55"/>
      <c r="D355" s="55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7.399999999999999">
      <c r="A356" s="40"/>
      <c r="B356" s="55"/>
      <c r="C356" s="55"/>
      <c r="D356" s="55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7.399999999999999">
      <c r="A357" s="40"/>
      <c r="B357" s="55"/>
      <c r="C357" s="55"/>
      <c r="D357" s="55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7.399999999999999">
      <c r="A358" s="40"/>
      <c r="B358" s="55"/>
      <c r="C358" s="55"/>
      <c r="D358" s="55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7.399999999999999">
      <c r="A359" s="40"/>
      <c r="B359" s="55"/>
      <c r="C359" s="55"/>
      <c r="D359" s="55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7.399999999999999">
      <c r="A360" s="40"/>
      <c r="B360" s="55"/>
      <c r="C360" s="55"/>
      <c r="D360" s="55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7.399999999999999">
      <c r="A361" s="40"/>
      <c r="B361" s="55"/>
      <c r="C361" s="55"/>
      <c r="D361" s="55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7.399999999999999">
      <c r="A362" s="40"/>
      <c r="B362" s="55"/>
      <c r="C362" s="55"/>
      <c r="D362" s="55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7.399999999999999">
      <c r="A363" s="40"/>
      <c r="B363" s="55"/>
      <c r="C363" s="55"/>
      <c r="D363" s="55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7.399999999999999">
      <c r="A364" s="40"/>
      <c r="B364" s="55"/>
      <c r="C364" s="55"/>
      <c r="D364" s="55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7.399999999999999">
      <c r="A365" s="40"/>
      <c r="B365" s="55"/>
      <c r="C365" s="55"/>
      <c r="D365" s="55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7.399999999999999">
      <c r="A366" s="40"/>
      <c r="B366" s="55"/>
      <c r="C366" s="55"/>
      <c r="D366" s="55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7.399999999999999">
      <c r="A367" s="40"/>
      <c r="B367" s="55"/>
      <c r="C367" s="55"/>
      <c r="D367" s="55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7.399999999999999">
      <c r="A368" s="40"/>
      <c r="B368" s="55"/>
      <c r="C368" s="55"/>
      <c r="D368" s="55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7.399999999999999">
      <c r="A369" s="40"/>
      <c r="B369" s="55"/>
      <c r="C369" s="55"/>
      <c r="D369" s="55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7.399999999999999">
      <c r="A370" s="40"/>
      <c r="B370" s="55"/>
      <c r="C370" s="55"/>
      <c r="D370" s="55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7.399999999999999">
      <c r="A371" s="40"/>
      <c r="B371" s="55"/>
      <c r="C371" s="55"/>
      <c r="D371" s="55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7.399999999999999">
      <c r="A372" s="40"/>
      <c r="B372" s="55"/>
      <c r="C372" s="55"/>
      <c r="D372" s="55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7.399999999999999">
      <c r="A373" s="40"/>
      <c r="B373" s="55"/>
      <c r="C373" s="55"/>
      <c r="D373" s="55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7.399999999999999">
      <c r="A374" s="40"/>
      <c r="B374" s="55"/>
      <c r="C374" s="55"/>
      <c r="D374" s="55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7.399999999999999">
      <c r="A375" s="40"/>
      <c r="B375" s="55"/>
      <c r="C375" s="55"/>
      <c r="D375" s="55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7.399999999999999">
      <c r="A376" s="40"/>
      <c r="B376" s="55"/>
      <c r="C376" s="55"/>
      <c r="D376" s="55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7.399999999999999">
      <c r="A377" s="40"/>
      <c r="B377" s="55"/>
      <c r="C377" s="55"/>
      <c r="D377" s="55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7.399999999999999">
      <c r="A378" s="40"/>
      <c r="B378" s="55"/>
      <c r="C378" s="55"/>
      <c r="D378" s="55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7.399999999999999">
      <c r="A379" s="40"/>
      <c r="B379" s="55"/>
      <c r="C379" s="55"/>
      <c r="D379" s="55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7.399999999999999">
      <c r="A380" s="40"/>
      <c r="B380" s="55"/>
      <c r="C380" s="55"/>
      <c r="D380" s="55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7.399999999999999">
      <c r="A381" s="40"/>
      <c r="B381" s="55"/>
      <c r="C381" s="55"/>
      <c r="D381" s="55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7.399999999999999">
      <c r="A382" s="40"/>
      <c r="B382" s="55"/>
      <c r="C382" s="55"/>
      <c r="D382" s="55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7.399999999999999">
      <c r="A383" s="40"/>
      <c r="B383" s="55"/>
      <c r="C383" s="55"/>
      <c r="D383" s="55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7.399999999999999">
      <c r="A384" s="40"/>
      <c r="B384" s="55"/>
      <c r="C384" s="55"/>
      <c r="D384" s="55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7.399999999999999">
      <c r="A385" s="40"/>
      <c r="B385" s="55"/>
      <c r="C385" s="55"/>
      <c r="D385" s="55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7.399999999999999">
      <c r="A386" s="40"/>
      <c r="B386" s="55"/>
      <c r="C386" s="55"/>
      <c r="D386" s="55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7.399999999999999">
      <c r="A387" s="40"/>
      <c r="B387" s="55"/>
      <c r="C387" s="55"/>
      <c r="D387" s="55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7.399999999999999">
      <c r="A388" s="40"/>
      <c r="B388" s="55"/>
      <c r="C388" s="55"/>
      <c r="D388" s="55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7.399999999999999">
      <c r="A389" s="40"/>
      <c r="B389" s="55"/>
      <c r="C389" s="55"/>
      <c r="D389" s="55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7.399999999999999">
      <c r="A390" s="40"/>
      <c r="B390" s="55"/>
      <c r="C390" s="55"/>
      <c r="D390" s="55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7.399999999999999">
      <c r="A391" s="40"/>
      <c r="B391" s="55"/>
      <c r="C391" s="55"/>
      <c r="D391" s="55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7.399999999999999">
      <c r="A392" s="40"/>
      <c r="B392" s="55"/>
      <c r="C392" s="55"/>
      <c r="D392" s="55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7.399999999999999">
      <c r="A393" s="40"/>
      <c r="B393" s="55"/>
      <c r="C393" s="55"/>
      <c r="D393" s="55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7.399999999999999">
      <c r="A394" s="40"/>
      <c r="B394" s="55"/>
      <c r="C394" s="55"/>
      <c r="D394" s="55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7.399999999999999">
      <c r="A395" s="40"/>
      <c r="B395" s="55"/>
      <c r="C395" s="55"/>
      <c r="D395" s="55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7.399999999999999">
      <c r="A396" s="40"/>
      <c r="B396" s="55"/>
      <c r="C396" s="55"/>
      <c r="D396" s="55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7.399999999999999">
      <c r="A397" s="40"/>
      <c r="B397" s="55"/>
      <c r="C397" s="55"/>
      <c r="D397" s="55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7.399999999999999">
      <c r="A398" s="40"/>
      <c r="B398" s="55"/>
      <c r="C398" s="55"/>
      <c r="D398" s="55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7.399999999999999">
      <c r="A399" s="40"/>
      <c r="B399" s="55"/>
      <c r="C399" s="55"/>
      <c r="D399" s="55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7.399999999999999">
      <c r="A400" s="40"/>
      <c r="B400" s="55"/>
      <c r="C400" s="55"/>
      <c r="D400" s="55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7.399999999999999">
      <c r="A401" s="40"/>
      <c r="B401" s="55"/>
      <c r="C401" s="55"/>
      <c r="D401" s="55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7.399999999999999">
      <c r="A402" s="40"/>
      <c r="B402" s="55"/>
      <c r="C402" s="55"/>
      <c r="D402" s="55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7.399999999999999">
      <c r="A403" s="40"/>
      <c r="B403" s="55"/>
      <c r="C403" s="55"/>
      <c r="D403" s="55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7.399999999999999">
      <c r="A404" s="40"/>
      <c r="B404" s="55"/>
      <c r="C404" s="55"/>
      <c r="D404" s="55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7.399999999999999">
      <c r="A405" s="40"/>
      <c r="B405" s="55"/>
      <c r="C405" s="55"/>
      <c r="D405" s="55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7.399999999999999">
      <c r="A406" s="40"/>
      <c r="B406" s="55"/>
      <c r="C406" s="55"/>
      <c r="D406" s="55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7.399999999999999">
      <c r="A407" s="40"/>
      <c r="B407" s="55"/>
      <c r="C407" s="55"/>
      <c r="D407" s="55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7.399999999999999">
      <c r="A408" s="40"/>
      <c r="B408" s="55"/>
      <c r="C408" s="55"/>
      <c r="D408" s="55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7.399999999999999">
      <c r="A409" s="40"/>
      <c r="B409" s="55"/>
      <c r="C409" s="55"/>
      <c r="D409" s="55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7.399999999999999">
      <c r="A410" s="40"/>
      <c r="B410" s="55"/>
      <c r="C410" s="55"/>
      <c r="D410" s="55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7.399999999999999">
      <c r="A411" s="40"/>
      <c r="B411" s="55"/>
      <c r="C411" s="55"/>
      <c r="D411" s="55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7.399999999999999">
      <c r="A412" s="40"/>
      <c r="B412" s="55"/>
      <c r="C412" s="55"/>
      <c r="D412" s="55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7.399999999999999">
      <c r="A413" s="40"/>
      <c r="B413" s="55"/>
      <c r="C413" s="55"/>
      <c r="D413" s="55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7.399999999999999">
      <c r="A414" s="40"/>
      <c r="B414" s="55"/>
      <c r="C414" s="55"/>
      <c r="D414" s="55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7.399999999999999">
      <c r="A415" s="40"/>
      <c r="B415" s="55"/>
      <c r="C415" s="55"/>
      <c r="D415" s="55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7.399999999999999">
      <c r="A416" s="40"/>
      <c r="B416" s="55"/>
      <c r="C416" s="55"/>
      <c r="D416" s="55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7.399999999999999">
      <c r="A417" s="40"/>
      <c r="B417" s="55"/>
      <c r="C417" s="55"/>
      <c r="D417" s="55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7.399999999999999">
      <c r="A418" s="40"/>
      <c r="B418" s="55"/>
      <c r="C418" s="55"/>
      <c r="D418" s="55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7.399999999999999">
      <c r="A419" s="40"/>
      <c r="B419" s="55"/>
      <c r="C419" s="55"/>
      <c r="D419" s="55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7.399999999999999">
      <c r="A420" s="40"/>
      <c r="B420" s="55"/>
      <c r="C420" s="55"/>
      <c r="D420" s="55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7.399999999999999">
      <c r="A421" s="40"/>
      <c r="B421" s="55"/>
      <c r="C421" s="55"/>
      <c r="D421" s="55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7.399999999999999">
      <c r="A422" s="40"/>
      <c r="B422" s="55"/>
      <c r="C422" s="55"/>
      <c r="D422" s="55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7.399999999999999">
      <c r="A423" s="40"/>
      <c r="B423" s="55"/>
      <c r="C423" s="55"/>
      <c r="D423" s="55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7.399999999999999">
      <c r="A424" s="40"/>
      <c r="B424" s="55"/>
      <c r="C424" s="55"/>
      <c r="D424" s="55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7.399999999999999">
      <c r="A425" s="40"/>
      <c r="B425" s="55"/>
      <c r="C425" s="55"/>
      <c r="D425" s="55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7.399999999999999">
      <c r="A426" s="40"/>
      <c r="B426" s="55"/>
      <c r="C426" s="55"/>
      <c r="D426" s="55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7.399999999999999">
      <c r="A427" s="40"/>
      <c r="B427" s="55"/>
      <c r="C427" s="55"/>
      <c r="D427" s="55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7.399999999999999">
      <c r="A428" s="40"/>
      <c r="B428" s="55"/>
      <c r="C428" s="55"/>
      <c r="D428" s="55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7.399999999999999">
      <c r="A429" s="40"/>
      <c r="B429" s="55"/>
      <c r="C429" s="55"/>
      <c r="D429" s="55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7.399999999999999">
      <c r="A430" s="40"/>
      <c r="B430" s="55"/>
      <c r="C430" s="55"/>
      <c r="D430" s="55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7.399999999999999">
      <c r="A431" s="40"/>
      <c r="B431" s="55"/>
      <c r="C431" s="55"/>
      <c r="D431" s="55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7.399999999999999">
      <c r="A432" s="40"/>
      <c r="B432" s="55"/>
      <c r="C432" s="55"/>
      <c r="D432" s="55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7.399999999999999">
      <c r="A433" s="40"/>
      <c r="B433" s="55"/>
      <c r="C433" s="55"/>
      <c r="D433" s="55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7.399999999999999">
      <c r="A434" s="40"/>
      <c r="B434" s="55"/>
      <c r="C434" s="55"/>
      <c r="D434" s="55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7.399999999999999">
      <c r="A435" s="40"/>
      <c r="B435" s="55"/>
      <c r="C435" s="55"/>
      <c r="D435" s="55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7.399999999999999">
      <c r="A436" s="40"/>
      <c r="B436" s="55"/>
      <c r="C436" s="55"/>
      <c r="D436" s="55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7.399999999999999">
      <c r="A437" s="40"/>
      <c r="B437" s="55"/>
      <c r="C437" s="55"/>
      <c r="D437" s="55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7.399999999999999">
      <c r="A438" s="40"/>
      <c r="B438" s="55"/>
      <c r="C438" s="55"/>
      <c r="D438" s="55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7.399999999999999">
      <c r="A439" s="40"/>
      <c r="B439" s="55"/>
      <c r="C439" s="55"/>
      <c r="D439" s="55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7.399999999999999">
      <c r="A440" s="40"/>
      <c r="B440" s="55"/>
      <c r="C440" s="55"/>
      <c r="D440" s="55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7.399999999999999">
      <c r="A441" s="40"/>
      <c r="B441" s="55"/>
      <c r="C441" s="55"/>
      <c r="D441" s="55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7.399999999999999">
      <c r="A442" s="40"/>
      <c r="B442" s="55"/>
      <c r="C442" s="55"/>
      <c r="D442" s="55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7.399999999999999">
      <c r="A443" s="40"/>
      <c r="B443" s="55"/>
      <c r="C443" s="55"/>
      <c r="D443" s="55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7.399999999999999">
      <c r="A444" s="40"/>
      <c r="B444" s="55"/>
      <c r="C444" s="55"/>
      <c r="D444" s="55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7.399999999999999">
      <c r="A445" s="40"/>
      <c r="B445" s="55"/>
      <c r="C445" s="55"/>
      <c r="D445" s="55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7.399999999999999">
      <c r="A446" s="40"/>
      <c r="B446" s="55"/>
      <c r="C446" s="55"/>
      <c r="D446" s="55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7.399999999999999">
      <c r="A447" s="40"/>
      <c r="B447" s="55"/>
      <c r="C447" s="55"/>
      <c r="D447" s="55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7.399999999999999">
      <c r="A448" s="40"/>
      <c r="B448" s="55"/>
      <c r="C448" s="55"/>
      <c r="D448" s="55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7.399999999999999">
      <c r="A449" s="40"/>
      <c r="B449" s="55"/>
      <c r="C449" s="55"/>
      <c r="D449" s="55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7.399999999999999">
      <c r="A450" s="40"/>
      <c r="B450" s="55"/>
      <c r="C450" s="55"/>
      <c r="D450" s="55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7.399999999999999">
      <c r="A451" s="40"/>
      <c r="B451" s="55"/>
      <c r="C451" s="55"/>
      <c r="D451" s="55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7.399999999999999">
      <c r="A452" s="40"/>
      <c r="B452" s="55"/>
      <c r="C452" s="55"/>
      <c r="D452" s="55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7.399999999999999">
      <c r="A453" s="40"/>
      <c r="B453" s="55"/>
      <c r="C453" s="55"/>
      <c r="D453" s="55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7.399999999999999">
      <c r="A454" s="40"/>
      <c r="B454" s="55"/>
      <c r="C454" s="55"/>
      <c r="D454" s="55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7.399999999999999">
      <c r="A455" s="40"/>
      <c r="B455" s="55"/>
      <c r="C455" s="55"/>
      <c r="D455" s="55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7.399999999999999">
      <c r="A456" s="40"/>
      <c r="B456" s="55"/>
      <c r="C456" s="55"/>
      <c r="D456" s="55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7.399999999999999">
      <c r="A457" s="40"/>
      <c r="B457" s="55"/>
      <c r="C457" s="55"/>
      <c r="D457" s="55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7.399999999999999">
      <c r="A458" s="40"/>
      <c r="B458" s="55"/>
      <c r="C458" s="55"/>
      <c r="D458" s="55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7.399999999999999">
      <c r="A459" s="40"/>
      <c r="B459" s="55"/>
      <c r="C459" s="55"/>
      <c r="D459" s="55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7.399999999999999">
      <c r="A460" s="40"/>
      <c r="B460" s="55"/>
      <c r="C460" s="55"/>
      <c r="D460" s="55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7.399999999999999">
      <c r="A461" s="40"/>
      <c r="B461" s="55"/>
      <c r="C461" s="55"/>
      <c r="D461" s="55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7.399999999999999">
      <c r="A462" s="40"/>
      <c r="B462" s="55"/>
      <c r="C462" s="55"/>
      <c r="D462" s="55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7.399999999999999">
      <c r="A463" s="40"/>
      <c r="B463" s="55"/>
      <c r="C463" s="55"/>
      <c r="D463" s="55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7.399999999999999">
      <c r="A464" s="40"/>
      <c r="B464" s="55"/>
      <c r="C464" s="55"/>
      <c r="D464" s="55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7.399999999999999">
      <c r="A465" s="40"/>
      <c r="B465" s="55"/>
      <c r="C465" s="55"/>
      <c r="D465" s="55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7.399999999999999">
      <c r="A466" s="40"/>
      <c r="B466" s="55"/>
      <c r="C466" s="55"/>
      <c r="D466" s="55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7.399999999999999">
      <c r="A467" s="40"/>
      <c r="B467" s="55"/>
      <c r="C467" s="55"/>
      <c r="D467" s="55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7.399999999999999">
      <c r="A468" s="40"/>
      <c r="B468" s="55"/>
      <c r="C468" s="55"/>
      <c r="D468" s="55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7.399999999999999">
      <c r="A469" s="40"/>
      <c r="B469" s="55"/>
      <c r="C469" s="55"/>
      <c r="D469" s="55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7.399999999999999">
      <c r="A470" s="40"/>
      <c r="B470" s="55"/>
      <c r="C470" s="55"/>
      <c r="D470" s="55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7.399999999999999">
      <c r="A471" s="40"/>
      <c r="B471" s="55"/>
      <c r="C471" s="55"/>
      <c r="D471" s="55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7.399999999999999">
      <c r="A472" s="40"/>
      <c r="B472" s="55"/>
      <c r="C472" s="55"/>
      <c r="D472" s="55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7.399999999999999">
      <c r="A473" s="40"/>
      <c r="B473" s="55"/>
      <c r="C473" s="55"/>
      <c r="D473" s="55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7.399999999999999">
      <c r="A474" s="40"/>
      <c r="B474" s="55"/>
      <c r="C474" s="55"/>
      <c r="D474" s="55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7.399999999999999">
      <c r="A475" s="40"/>
      <c r="B475" s="55"/>
      <c r="C475" s="55"/>
      <c r="D475" s="55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7.399999999999999">
      <c r="A476" s="40"/>
      <c r="B476" s="55"/>
      <c r="C476" s="55"/>
      <c r="D476" s="55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7.399999999999999">
      <c r="A477" s="40"/>
      <c r="B477" s="55"/>
      <c r="C477" s="55"/>
      <c r="D477" s="55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7.399999999999999">
      <c r="A478" s="40"/>
      <c r="B478" s="55"/>
      <c r="C478" s="55"/>
      <c r="D478" s="55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7.399999999999999">
      <c r="A479" s="40"/>
      <c r="B479" s="55"/>
      <c r="C479" s="55"/>
      <c r="D479" s="55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7.399999999999999">
      <c r="A480" s="40"/>
      <c r="B480" s="55"/>
      <c r="C480" s="55"/>
      <c r="D480" s="55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7.399999999999999">
      <c r="A481" s="40"/>
      <c r="B481" s="55"/>
      <c r="C481" s="55"/>
      <c r="D481" s="55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7.399999999999999">
      <c r="A482" s="40"/>
      <c r="B482" s="55"/>
      <c r="C482" s="55"/>
      <c r="D482" s="55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7.399999999999999">
      <c r="A483" s="40"/>
      <c r="B483" s="55"/>
      <c r="C483" s="55"/>
      <c r="D483" s="55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7.399999999999999">
      <c r="A484" s="40"/>
      <c r="B484" s="55"/>
      <c r="C484" s="55"/>
      <c r="D484" s="55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7.399999999999999">
      <c r="A485" s="40"/>
      <c r="B485" s="55"/>
      <c r="C485" s="55"/>
      <c r="D485" s="55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7.399999999999999">
      <c r="A486" s="40"/>
      <c r="B486" s="55"/>
      <c r="C486" s="55"/>
      <c r="D486" s="55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7.399999999999999">
      <c r="A487" s="40"/>
      <c r="B487" s="55"/>
      <c r="C487" s="55"/>
      <c r="D487" s="55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7.399999999999999">
      <c r="A488" s="40"/>
      <c r="B488" s="55"/>
      <c r="C488" s="55"/>
      <c r="D488" s="55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7.399999999999999">
      <c r="A489" s="40"/>
      <c r="B489" s="55"/>
      <c r="C489" s="55"/>
      <c r="D489" s="55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7.399999999999999">
      <c r="A490" s="40"/>
      <c r="B490" s="55"/>
      <c r="C490" s="55"/>
      <c r="D490" s="55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7.399999999999999">
      <c r="A491" s="40"/>
      <c r="B491" s="55"/>
      <c r="C491" s="55"/>
      <c r="D491" s="55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7.399999999999999">
      <c r="A492" s="40"/>
      <c r="B492" s="55"/>
      <c r="C492" s="55"/>
      <c r="D492" s="55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7.399999999999999">
      <c r="A493" s="40"/>
      <c r="B493" s="55"/>
      <c r="C493" s="55"/>
      <c r="D493" s="55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7.399999999999999">
      <c r="A494" s="40"/>
      <c r="B494" s="55"/>
      <c r="C494" s="55"/>
      <c r="D494" s="55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7.399999999999999">
      <c r="A495" s="40"/>
      <c r="B495" s="55"/>
      <c r="C495" s="55"/>
      <c r="D495" s="55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7.399999999999999">
      <c r="A496" s="40"/>
      <c r="B496" s="55"/>
      <c r="C496" s="55"/>
      <c r="D496" s="55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7.399999999999999">
      <c r="A497" s="40"/>
      <c r="B497" s="55"/>
      <c r="C497" s="55"/>
      <c r="D497" s="55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7.399999999999999">
      <c r="A498" s="40"/>
      <c r="B498" s="55"/>
      <c r="C498" s="55"/>
      <c r="D498" s="55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7.399999999999999">
      <c r="A499" s="40"/>
      <c r="B499" s="55"/>
      <c r="C499" s="55"/>
      <c r="D499" s="55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7.399999999999999">
      <c r="A500" s="40"/>
      <c r="B500" s="55"/>
      <c r="C500" s="55"/>
      <c r="D500" s="55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7.399999999999999">
      <c r="A501" s="40"/>
      <c r="B501" s="55"/>
      <c r="C501" s="55"/>
      <c r="D501" s="55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7.399999999999999">
      <c r="A502" s="40"/>
      <c r="B502" s="55"/>
      <c r="C502" s="55"/>
      <c r="D502" s="55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7.399999999999999">
      <c r="A503" s="40"/>
      <c r="B503" s="55"/>
      <c r="C503" s="55"/>
      <c r="D503" s="55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7.399999999999999">
      <c r="A504" s="40"/>
      <c r="B504" s="55"/>
      <c r="C504" s="55"/>
      <c r="D504" s="55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7.399999999999999">
      <c r="A505" s="40"/>
      <c r="B505" s="55"/>
      <c r="C505" s="55"/>
      <c r="D505" s="55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7.399999999999999">
      <c r="A506" s="40"/>
      <c r="B506" s="55"/>
      <c r="C506" s="55"/>
      <c r="D506" s="55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7.399999999999999">
      <c r="A507" s="40"/>
      <c r="B507" s="55"/>
      <c r="C507" s="55"/>
      <c r="D507" s="55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7.399999999999999">
      <c r="A508" s="40"/>
      <c r="B508" s="55"/>
      <c r="C508" s="55"/>
      <c r="D508" s="55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7.399999999999999">
      <c r="A509" s="40"/>
      <c r="B509" s="55"/>
      <c r="C509" s="55"/>
      <c r="D509" s="55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7.399999999999999">
      <c r="A510" s="40"/>
      <c r="B510" s="55"/>
      <c r="C510" s="55"/>
      <c r="D510" s="55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7.399999999999999">
      <c r="A511" s="40"/>
      <c r="B511" s="55"/>
      <c r="C511" s="55"/>
      <c r="D511" s="55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7.399999999999999">
      <c r="A512" s="40"/>
      <c r="B512" s="55"/>
      <c r="C512" s="55"/>
      <c r="D512" s="55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7.399999999999999">
      <c r="A513" s="40"/>
      <c r="B513" s="55"/>
      <c r="C513" s="55"/>
      <c r="D513" s="55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7.399999999999999">
      <c r="A514" s="40"/>
      <c r="B514" s="55"/>
      <c r="C514" s="55"/>
      <c r="D514" s="55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7.399999999999999">
      <c r="A515" s="40"/>
      <c r="B515" s="55"/>
      <c r="C515" s="55"/>
      <c r="D515" s="55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7.399999999999999">
      <c r="A516" s="40"/>
      <c r="B516" s="55"/>
      <c r="C516" s="55"/>
      <c r="D516" s="55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7.399999999999999">
      <c r="A517" s="40"/>
      <c r="B517" s="55"/>
      <c r="C517" s="55"/>
      <c r="D517" s="55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7.399999999999999">
      <c r="A518" s="40"/>
      <c r="B518" s="55"/>
      <c r="C518" s="55"/>
      <c r="D518" s="55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7.399999999999999">
      <c r="A519" s="40"/>
      <c r="B519" s="55"/>
      <c r="C519" s="55"/>
      <c r="D519" s="55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7.399999999999999">
      <c r="A520" s="40"/>
      <c r="B520" s="55"/>
      <c r="C520" s="55"/>
      <c r="D520" s="55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7.399999999999999">
      <c r="A521" s="40"/>
      <c r="B521" s="55"/>
      <c r="C521" s="55"/>
      <c r="D521" s="55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7.399999999999999">
      <c r="A522" s="40"/>
      <c r="B522" s="55"/>
      <c r="C522" s="55"/>
      <c r="D522" s="55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7.399999999999999">
      <c r="A523" s="40"/>
      <c r="B523" s="55"/>
      <c r="C523" s="55"/>
      <c r="D523" s="55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7.399999999999999">
      <c r="A524" s="40"/>
      <c r="B524" s="55"/>
      <c r="C524" s="55"/>
      <c r="D524" s="55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7.399999999999999">
      <c r="A525" s="40"/>
      <c r="B525" s="55"/>
      <c r="C525" s="55"/>
      <c r="D525" s="55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7.399999999999999">
      <c r="A526" s="40"/>
      <c r="B526" s="55"/>
      <c r="C526" s="55"/>
      <c r="D526" s="55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7.399999999999999">
      <c r="A527" s="40"/>
      <c r="B527" s="55"/>
      <c r="C527" s="55"/>
      <c r="D527" s="55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7.399999999999999">
      <c r="A528" s="40"/>
      <c r="B528" s="55"/>
      <c r="C528" s="55"/>
      <c r="D528" s="55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7.399999999999999">
      <c r="A529" s="40"/>
      <c r="B529" s="55"/>
      <c r="C529" s="55"/>
      <c r="D529" s="55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7.399999999999999">
      <c r="A530" s="40"/>
      <c r="B530" s="55"/>
      <c r="C530" s="55"/>
      <c r="D530" s="55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7.399999999999999">
      <c r="A531" s="40"/>
      <c r="B531" s="55"/>
      <c r="C531" s="55"/>
      <c r="D531" s="55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7.399999999999999">
      <c r="A532" s="40"/>
      <c r="B532" s="55"/>
      <c r="C532" s="55"/>
      <c r="D532" s="55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7.399999999999999">
      <c r="A533" s="40"/>
      <c r="B533" s="55"/>
      <c r="C533" s="55"/>
      <c r="D533" s="55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7.399999999999999">
      <c r="A534" s="40"/>
      <c r="B534" s="55"/>
      <c r="C534" s="55"/>
      <c r="D534" s="55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7.399999999999999">
      <c r="A535" s="40"/>
      <c r="B535" s="55"/>
      <c r="C535" s="55"/>
      <c r="D535" s="55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7.399999999999999">
      <c r="A536" s="40"/>
      <c r="B536" s="55"/>
      <c r="C536" s="55"/>
      <c r="D536" s="55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7.399999999999999">
      <c r="A537" s="40"/>
      <c r="B537" s="55"/>
      <c r="C537" s="55"/>
      <c r="D537" s="55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7.399999999999999">
      <c r="A538" s="40"/>
      <c r="B538" s="55"/>
      <c r="C538" s="55"/>
      <c r="D538" s="55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7.399999999999999">
      <c r="A539" s="40"/>
      <c r="B539" s="55"/>
      <c r="C539" s="55"/>
      <c r="D539" s="55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7.399999999999999">
      <c r="A540" s="40"/>
      <c r="B540" s="55"/>
      <c r="C540" s="55"/>
      <c r="D540" s="55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7.399999999999999">
      <c r="A541" s="40"/>
      <c r="B541" s="55"/>
      <c r="C541" s="55"/>
      <c r="D541" s="55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7.399999999999999">
      <c r="A542" s="40"/>
      <c r="B542" s="55"/>
      <c r="C542" s="55"/>
      <c r="D542" s="55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7.399999999999999">
      <c r="A543" s="40"/>
      <c r="B543" s="55"/>
      <c r="C543" s="55"/>
      <c r="D543" s="55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7.399999999999999">
      <c r="A544" s="40"/>
      <c r="B544" s="55"/>
      <c r="C544" s="55"/>
      <c r="D544" s="55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7.399999999999999">
      <c r="A545" s="40"/>
      <c r="B545" s="55"/>
      <c r="C545" s="55"/>
      <c r="D545" s="55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7.399999999999999">
      <c r="A546" s="40"/>
      <c r="B546" s="55"/>
      <c r="C546" s="55"/>
      <c r="D546" s="55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7.399999999999999">
      <c r="A547" s="40"/>
      <c r="B547" s="55"/>
      <c r="C547" s="55"/>
      <c r="D547" s="55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7.399999999999999">
      <c r="A548" s="40"/>
      <c r="B548" s="55"/>
      <c r="C548" s="55"/>
      <c r="D548" s="55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7.399999999999999">
      <c r="A549" s="40"/>
      <c r="B549" s="55"/>
      <c r="C549" s="55"/>
      <c r="D549" s="55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7.399999999999999">
      <c r="A550" s="40"/>
      <c r="B550" s="55"/>
      <c r="C550" s="55"/>
      <c r="D550" s="55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7.399999999999999">
      <c r="A551" s="40"/>
      <c r="B551" s="55"/>
      <c r="C551" s="55"/>
      <c r="D551" s="55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7.399999999999999">
      <c r="A552" s="40"/>
      <c r="B552" s="55"/>
      <c r="C552" s="55"/>
      <c r="D552" s="55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7.399999999999999">
      <c r="A553" s="40"/>
      <c r="B553" s="55"/>
      <c r="C553" s="55"/>
      <c r="D553" s="55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7.399999999999999">
      <c r="A554" s="40"/>
      <c r="B554" s="55"/>
      <c r="C554" s="55"/>
      <c r="D554" s="55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7.399999999999999">
      <c r="A555" s="40"/>
      <c r="B555" s="55"/>
      <c r="C555" s="55"/>
      <c r="D555" s="55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7.399999999999999">
      <c r="A556" s="40"/>
      <c r="B556" s="55"/>
      <c r="C556" s="55"/>
      <c r="D556" s="55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7.399999999999999">
      <c r="A557" s="40"/>
      <c r="B557" s="55"/>
      <c r="C557" s="55"/>
      <c r="D557" s="55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7.399999999999999">
      <c r="A558" s="40"/>
      <c r="B558" s="55"/>
      <c r="C558" s="55"/>
      <c r="D558" s="55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7.399999999999999">
      <c r="A559" s="40"/>
      <c r="B559" s="55"/>
      <c r="C559" s="55"/>
      <c r="D559" s="55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7.399999999999999">
      <c r="A560" s="40"/>
      <c r="B560" s="55"/>
      <c r="C560" s="55"/>
      <c r="D560" s="55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7.399999999999999">
      <c r="A561" s="40"/>
      <c r="B561" s="55"/>
      <c r="C561" s="55"/>
      <c r="D561" s="55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7.399999999999999">
      <c r="A562" s="40"/>
      <c r="B562" s="55"/>
      <c r="C562" s="55"/>
      <c r="D562" s="55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7.399999999999999">
      <c r="A563" s="40"/>
      <c r="B563" s="55"/>
      <c r="C563" s="55"/>
      <c r="D563" s="55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7.399999999999999">
      <c r="A564" s="40"/>
      <c r="B564" s="55"/>
      <c r="C564" s="55"/>
      <c r="D564" s="55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7.399999999999999">
      <c r="A565" s="40"/>
      <c r="B565" s="55"/>
      <c r="C565" s="55"/>
      <c r="D565" s="55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7.399999999999999">
      <c r="A566" s="40"/>
      <c r="B566" s="55"/>
      <c r="C566" s="55"/>
      <c r="D566" s="55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7.399999999999999">
      <c r="A567" s="40"/>
      <c r="B567" s="55"/>
      <c r="C567" s="55"/>
      <c r="D567" s="55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7.399999999999999">
      <c r="A568" s="40"/>
      <c r="B568" s="55"/>
      <c r="C568" s="55"/>
      <c r="D568" s="55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7.399999999999999">
      <c r="A569" s="40"/>
      <c r="B569" s="55"/>
      <c r="C569" s="55"/>
      <c r="D569" s="55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7.399999999999999">
      <c r="A570" s="40"/>
      <c r="B570" s="55"/>
      <c r="C570" s="55"/>
      <c r="D570" s="55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7.399999999999999">
      <c r="A571" s="40"/>
      <c r="B571" s="55"/>
      <c r="C571" s="55"/>
      <c r="D571" s="55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7.399999999999999">
      <c r="A572" s="40"/>
      <c r="B572" s="55"/>
      <c r="C572" s="55"/>
      <c r="D572" s="55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7.399999999999999">
      <c r="A573" s="40"/>
      <c r="B573" s="55"/>
      <c r="C573" s="55"/>
      <c r="D573" s="55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7.399999999999999">
      <c r="A574" s="40"/>
      <c r="B574" s="55"/>
      <c r="C574" s="55"/>
      <c r="D574" s="55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7.399999999999999">
      <c r="A575" s="40"/>
      <c r="B575" s="55"/>
      <c r="C575" s="55"/>
      <c r="D575" s="55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7.399999999999999">
      <c r="A576" s="40"/>
      <c r="B576" s="55"/>
      <c r="C576" s="55"/>
      <c r="D576" s="55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7.399999999999999">
      <c r="A577" s="40"/>
      <c r="B577" s="55"/>
      <c r="C577" s="55"/>
      <c r="D577" s="55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7.399999999999999">
      <c r="A578" s="40"/>
      <c r="B578" s="55"/>
      <c r="C578" s="55"/>
      <c r="D578" s="55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7.399999999999999">
      <c r="A579" s="40"/>
      <c r="B579" s="55"/>
      <c r="C579" s="55"/>
      <c r="D579" s="55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7.399999999999999">
      <c r="A580" s="40"/>
      <c r="B580" s="55"/>
      <c r="C580" s="55"/>
      <c r="D580" s="55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7.399999999999999">
      <c r="A581" s="40"/>
      <c r="B581" s="55"/>
      <c r="C581" s="55"/>
      <c r="D581" s="55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7.399999999999999">
      <c r="A582" s="40"/>
      <c r="B582" s="55"/>
      <c r="C582" s="55"/>
      <c r="D582" s="55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7.399999999999999">
      <c r="A583" s="40"/>
      <c r="B583" s="55"/>
      <c r="C583" s="55"/>
      <c r="D583" s="55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7.399999999999999">
      <c r="A584" s="40"/>
      <c r="B584" s="55"/>
      <c r="C584" s="55"/>
      <c r="D584" s="55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7.399999999999999">
      <c r="A585" s="40"/>
      <c r="B585" s="55"/>
      <c r="C585" s="55"/>
      <c r="D585" s="55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7.399999999999999">
      <c r="A586" s="40"/>
      <c r="B586" s="55"/>
      <c r="C586" s="55"/>
      <c r="D586" s="55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7.399999999999999">
      <c r="A587" s="40"/>
      <c r="B587" s="55"/>
      <c r="C587" s="55"/>
      <c r="D587" s="55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7.399999999999999">
      <c r="A588" s="40"/>
      <c r="B588" s="55"/>
      <c r="C588" s="55"/>
      <c r="D588" s="55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7.399999999999999">
      <c r="A589" s="40"/>
      <c r="B589" s="55"/>
      <c r="C589" s="55"/>
      <c r="D589" s="55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7.399999999999999">
      <c r="A590" s="40"/>
      <c r="B590" s="55"/>
      <c r="C590" s="55"/>
      <c r="D590" s="55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7.399999999999999">
      <c r="A591" s="40"/>
      <c r="B591" s="55"/>
      <c r="C591" s="55"/>
      <c r="D591" s="55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7.399999999999999">
      <c r="A592" s="40"/>
      <c r="B592" s="55"/>
      <c r="C592" s="55"/>
      <c r="D592" s="55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7.399999999999999">
      <c r="A593" s="40"/>
      <c r="B593" s="55"/>
      <c r="C593" s="55"/>
      <c r="D593" s="55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7.399999999999999">
      <c r="A594" s="40"/>
      <c r="B594" s="55"/>
      <c r="C594" s="55"/>
      <c r="D594" s="55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7.399999999999999">
      <c r="A595" s="40"/>
      <c r="B595" s="55"/>
      <c r="C595" s="55"/>
      <c r="D595" s="55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7.399999999999999">
      <c r="A596" s="40"/>
      <c r="B596" s="55"/>
      <c r="C596" s="55"/>
      <c r="D596" s="55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7.399999999999999">
      <c r="A597" s="40"/>
      <c r="B597" s="55"/>
      <c r="C597" s="55"/>
      <c r="D597" s="55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7.399999999999999">
      <c r="A598" s="40"/>
      <c r="B598" s="55"/>
      <c r="C598" s="55"/>
      <c r="D598" s="55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7.399999999999999">
      <c r="A599" s="40"/>
      <c r="B599" s="55"/>
      <c r="C599" s="55"/>
      <c r="D599" s="55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7.399999999999999">
      <c r="A600" s="40"/>
      <c r="B600" s="55"/>
      <c r="C600" s="55"/>
      <c r="D600" s="55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7.399999999999999">
      <c r="A601" s="40"/>
      <c r="B601" s="55"/>
      <c r="C601" s="55"/>
      <c r="D601" s="55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7.399999999999999">
      <c r="A602" s="40"/>
      <c r="B602" s="55"/>
      <c r="C602" s="55"/>
      <c r="D602" s="55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7.399999999999999">
      <c r="A603" s="40"/>
      <c r="B603" s="55"/>
      <c r="C603" s="55"/>
      <c r="D603" s="55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7.399999999999999">
      <c r="A604" s="40"/>
      <c r="B604" s="55"/>
      <c r="C604" s="55"/>
      <c r="D604" s="55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7.399999999999999">
      <c r="A605" s="40"/>
      <c r="B605" s="55"/>
      <c r="C605" s="55"/>
      <c r="D605" s="55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7.399999999999999">
      <c r="A606" s="40"/>
      <c r="B606" s="55"/>
      <c r="C606" s="55"/>
      <c r="D606" s="55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7.399999999999999">
      <c r="A607" s="40"/>
      <c r="B607" s="55"/>
      <c r="C607" s="55"/>
      <c r="D607" s="55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7.399999999999999">
      <c r="A608" s="40"/>
      <c r="B608" s="55"/>
      <c r="C608" s="55"/>
      <c r="D608" s="55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7.399999999999999">
      <c r="A609" s="40"/>
      <c r="B609" s="55"/>
      <c r="C609" s="55"/>
      <c r="D609" s="55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7.399999999999999">
      <c r="A610" s="40"/>
      <c r="B610" s="55"/>
      <c r="C610" s="55"/>
      <c r="D610" s="55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7.399999999999999">
      <c r="A611" s="40"/>
      <c r="B611" s="55"/>
      <c r="C611" s="55"/>
      <c r="D611" s="55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7.399999999999999">
      <c r="A612" s="40"/>
      <c r="B612" s="55"/>
      <c r="C612" s="55"/>
      <c r="D612" s="55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7.399999999999999">
      <c r="A613" s="40"/>
      <c r="B613" s="55"/>
      <c r="C613" s="55"/>
      <c r="D613" s="55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7.399999999999999">
      <c r="A614" s="40"/>
      <c r="B614" s="55"/>
      <c r="C614" s="55"/>
      <c r="D614" s="55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7.399999999999999">
      <c r="A615" s="40"/>
      <c r="B615" s="55"/>
      <c r="C615" s="55"/>
      <c r="D615" s="55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7.399999999999999">
      <c r="A616" s="40"/>
      <c r="B616" s="55"/>
      <c r="C616" s="55"/>
      <c r="D616" s="55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7.399999999999999">
      <c r="A617" s="40"/>
      <c r="B617" s="55"/>
      <c r="C617" s="55"/>
      <c r="D617" s="55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7.399999999999999">
      <c r="A618" s="40"/>
      <c r="B618" s="55"/>
      <c r="C618" s="55"/>
      <c r="D618" s="55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7.399999999999999">
      <c r="A619" s="40"/>
      <c r="B619" s="55"/>
      <c r="C619" s="55"/>
      <c r="D619" s="55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7.399999999999999">
      <c r="A620" s="40"/>
      <c r="B620" s="55"/>
      <c r="C620" s="55"/>
      <c r="D620" s="55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7.399999999999999">
      <c r="A621" s="40"/>
      <c r="B621" s="55"/>
      <c r="C621" s="55"/>
      <c r="D621" s="55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7.399999999999999">
      <c r="A622" s="40"/>
      <c r="B622" s="55"/>
      <c r="C622" s="55"/>
      <c r="D622" s="55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7.399999999999999">
      <c r="A623" s="40"/>
      <c r="B623" s="55"/>
      <c r="C623" s="55"/>
      <c r="D623" s="55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7.399999999999999">
      <c r="A624" s="40"/>
      <c r="B624" s="55"/>
      <c r="C624" s="55"/>
      <c r="D624" s="55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7.399999999999999">
      <c r="A625" s="40"/>
      <c r="B625" s="55"/>
      <c r="C625" s="55"/>
      <c r="D625" s="55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7.399999999999999">
      <c r="A626" s="40"/>
      <c r="B626" s="55"/>
      <c r="C626" s="55"/>
      <c r="D626" s="55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7.399999999999999">
      <c r="A627" s="40"/>
      <c r="B627" s="55"/>
      <c r="C627" s="55"/>
      <c r="D627" s="55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7.399999999999999">
      <c r="A628" s="40"/>
      <c r="B628" s="55"/>
      <c r="C628" s="55"/>
      <c r="D628" s="55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7.399999999999999">
      <c r="A629" s="40"/>
      <c r="B629" s="55"/>
      <c r="C629" s="55"/>
      <c r="D629" s="55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7.399999999999999">
      <c r="A630" s="40"/>
      <c r="B630" s="55"/>
      <c r="C630" s="55"/>
      <c r="D630" s="55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7.399999999999999">
      <c r="A631" s="40"/>
      <c r="B631" s="55"/>
      <c r="C631" s="55"/>
      <c r="D631" s="55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7.399999999999999">
      <c r="A632" s="40"/>
      <c r="B632" s="55"/>
      <c r="C632" s="55"/>
      <c r="D632" s="55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7.399999999999999">
      <c r="A633" s="40"/>
      <c r="B633" s="55"/>
      <c r="C633" s="55"/>
      <c r="D633" s="55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7.399999999999999">
      <c r="A634" s="40"/>
      <c r="B634" s="55"/>
      <c r="C634" s="55"/>
      <c r="D634" s="55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7.399999999999999">
      <c r="A635" s="40"/>
      <c r="B635" s="55"/>
      <c r="C635" s="55"/>
      <c r="D635" s="55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7.399999999999999">
      <c r="A636" s="40"/>
      <c r="B636" s="55"/>
      <c r="C636" s="55"/>
      <c r="D636" s="55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7.399999999999999">
      <c r="A637" s="40"/>
      <c r="B637" s="55"/>
      <c r="C637" s="55"/>
      <c r="D637" s="55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7.399999999999999">
      <c r="A638" s="40"/>
      <c r="B638" s="55"/>
      <c r="C638" s="55"/>
      <c r="D638" s="55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7.399999999999999">
      <c r="A639" s="40"/>
      <c r="B639" s="55"/>
      <c r="C639" s="55"/>
      <c r="D639" s="55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7.399999999999999">
      <c r="A640" s="40"/>
      <c r="B640" s="55"/>
      <c r="C640" s="55"/>
      <c r="D640" s="55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7.399999999999999">
      <c r="A641" s="40"/>
      <c r="B641" s="55"/>
      <c r="C641" s="55"/>
      <c r="D641" s="55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7.399999999999999">
      <c r="A642" s="40"/>
      <c r="B642" s="55"/>
      <c r="C642" s="55"/>
      <c r="D642" s="55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7.399999999999999">
      <c r="A643" s="40"/>
      <c r="B643" s="55"/>
      <c r="C643" s="55"/>
      <c r="D643" s="55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7.399999999999999">
      <c r="A644" s="40"/>
      <c r="B644" s="55"/>
      <c r="C644" s="55"/>
      <c r="D644" s="55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7.399999999999999">
      <c r="A645" s="40"/>
      <c r="B645" s="55"/>
      <c r="C645" s="55"/>
      <c r="D645" s="55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7.399999999999999">
      <c r="A646" s="40"/>
      <c r="B646" s="55"/>
      <c r="C646" s="55"/>
      <c r="D646" s="55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7.399999999999999">
      <c r="A647" s="40"/>
      <c r="B647" s="55"/>
      <c r="C647" s="55"/>
      <c r="D647" s="55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7.399999999999999">
      <c r="A648" s="40"/>
      <c r="B648" s="55"/>
      <c r="C648" s="55"/>
      <c r="D648" s="55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7.399999999999999">
      <c r="A649" s="40"/>
      <c r="B649" s="55"/>
      <c r="C649" s="55"/>
      <c r="D649" s="55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7.399999999999999">
      <c r="A650" s="40"/>
      <c r="B650" s="55"/>
      <c r="C650" s="55"/>
      <c r="D650" s="55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7.399999999999999">
      <c r="A651" s="40"/>
      <c r="B651" s="55"/>
      <c r="C651" s="55"/>
      <c r="D651" s="55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7.399999999999999">
      <c r="A652" s="40"/>
      <c r="B652" s="55"/>
      <c r="C652" s="55"/>
      <c r="D652" s="55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7.399999999999999">
      <c r="A653" s="40"/>
      <c r="B653" s="55"/>
      <c r="C653" s="55"/>
      <c r="D653" s="55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7.399999999999999">
      <c r="A654" s="40"/>
      <c r="B654" s="55"/>
      <c r="C654" s="55"/>
      <c r="D654" s="55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7.399999999999999">
      <c r="A655" s="40"/>
      <c r="B655" s="55"/>
      <c r="C655" s="55"/>
      <c r="D655" s="55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7.399999999999999">
      <c r="A656" s="40"/>
      <c r="B656" s="55"/>
      <c r="C656" s="55"/>
      <c r="D656" s="55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7.399999999999999">
      <c r="A657" s="40"/>
      <c r="B657" s="55"/>
      <c r="C657" s="55"/>
      <c r="D657" s="55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7.399999999999999">
      <c r="A658" s="40"/>
      <c r="B658" s="55"/>
      <c r="C658" s="55"/>
      <c r="D658" s="55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7.399999999999999">
      <c r="A659" s="40"/>
      <c r="B659" s="55"/>
      <c r="C659" s="55"/>
      <c r="D659" s="55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7.399999999999999">
      <c r="A660" s="40"/>
      <c r="B660" s="55"/>
      <c r="C660" s="55"/>
      <c r="D660" s="55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7.399999999999999">
      <c r="A661" s="40"/>
      <c r="B661" s="55"/>
      <c r="C661" s="55"/>
      <c r="D661" s="55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7.399999999999999">
      <c r="A662" s="40"/>
      <c r="B662" s="55"/>
      <c r="C662" s="55"/>
      <c r="D662" s="55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7.399999999999999">
      <c r="A663" s="40"/>
      <c r="B663" s="55"/>
      <c r="C663" s="55"/>
      <c r="D663" s="55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7.399999999999999">
      <c r="A664" s="40"/>
      <c r="B664" s="55"/>
      <c r="C664" s="55"/>
      <c r="D664" s="55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7.399999999999999">
      <c r="A665" s="40"/>
      <c r="B665" s="55"/>
      <c r="C665" s="55"/>
      <c r="D665" s="55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7.399999999999999">
      <c r="A666" s="40"/>
      <c r="B666" s="55"/>
      <c r="C666" s="55"/>
      <c r="D666" s="55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7.399999999999999">
      <c r="A667" s="40"/>
      <c r="B667" s="55"/>
      <c r="C667" s="55"/>
      <c r="D667" s="55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7.399999999999999">
      <c r="A668" s="40"/>
      <c r="B668" s="55"/>
      <c r="C668" s="55"/>
      <c r="D668" s="55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7.399999999999999">
      <c r="A669" s="40"/>
      <c r="B669" s="55"/>
      <c r="C669" s="55"/>
      <c r="D669" s="55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7.399999999999999">
      <c r="A670" s="40"/>
      <c r="B670" s="55"/>
      <c r="C670" s="55"/>
      <c r="D670" s="55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7.399999999999999">
      <c r="A671" s="40"/>
      <c r="B671" s="55"/>
      <c r="C671" s="55"/>
      <c r="D671" s="55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7.399999999999999">
      <c r="A672" s="40"/>
      <c r="B672" s="55"/>
      <c r="C672" s="55"/>
      <c r="D672" s="55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7.399999999999999">
      <c r="A673" s="40"/>
      <c r="B673" s="55"/>
      <c r="C673" s="55"/>
      <c r="D673" s="55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7.399999999999999">
      <c r="A674" s="40"/>
      <c r="B674" s="55"/>
      <c r="C674" s="55"/>
      <c r="D674" s="55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7.399999999999999">
      <c r="A675" s="40"/>
      <c r="B675" s="55"/>
      <c r="C675" s="55"/>
      <c r="D675" s="55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7.399999999999999">
      <c r="A676" s="40"/>
      <c r="B676" s="55"/>
      <c r="C676" s="55"/>
      <c r="D676" s="55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7.399999999999999">
      <c r="A677" s="40"/>
      <c r="B677" s="55"/>
      <c r="C677" s="55"/>
      <c r="D677" s="55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7.399999999999999">
      <c r="A678" s="40"/>
      <c r="B678" s="55"/>
      <c r="C678" s="55"/>
      <c r="D678" s="55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7.399999999999999">
      <c r="A679" s="40"/>
      <c r="B679" s="55"/>
      <c r="C679" s="55"/>
      <c r="D679" s="55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7.399999999999999">
      <c r="A680" s="40"/>
      <c r="B680" s="55"/>
      <c r="C680" s="55"/>
      <c r="D680" s="55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7.399999999999999">
      <c r="A681" s="40"/>
      <c r="B681" s="55"/>
      <c r="C681" s="55"/>
      <c r="D681" s="55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7.399999999999999">
      <c r="A682" s="40"/>
      <c r="B682" s="55"/>
      <c r="C682" s="55"/>
      <c r="D682" s="55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7.399999999999999">
      <c r="A683" s="40"/>
      <c r="B683" s="55"/>
      <c r="C683" s="55"/>
      <c r="D683" s="55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7.399999999999999">
      <c r="A684" s="40"/>
      <c r="B684" s="55"/>
      <c r="C684" s="55"/>
      <c r="D684" s="55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7.399999999999999">
      <c r="A685" s="40"/>
      <c r="B685" s="55"/>
      <c r="C685" s="55"/>
      <c r="D685" s="55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7.399999999999999">
      <c r="A686" s="40"/>
      <c r="B686" s="55"/>
      <c r="C686" s="55"/>
      <c r="D686" s="55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7.399999999999999">
      <c r="A687" s="40"/>
      <c r="B687" s="55"/>
      <c r="C687" s="55"/>
      <c r="D687" s="55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7.399999999999999">
      <c r="A688" s="40"/>
      <c r="B688" s="55"/>
      <c r="C688" s="55"/>
      <c r="D688" s="55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7.399999999999999">
      <c r="A689" s="40"/>
      <c r="B689" s="55"/>
      <c r="C689" s="55"/>
      <c r="D689" s="55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7.399999999999999">
      <c r="A690" s="40"/>
      <c r="B690" s="55"/>
      <c r="C690" s="55"/>
      <c r="D690" s="55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7.399999999999999">
      <c r="A691" s="40"/>
      <c r="B691" s="55"/>
      <c r="C691" s="55"/>
      <c r="D691" s="55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7.399999999999999">
      <c r="A692" s="40"/>
      <c r="B692" s="55"/>
      <c r="C692" s="55"/>
      <c r="D692" s="55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7.399999999999999">
      <c r="A693" s="40"/>
      <c r="B693" s="55"/>
      <c r="C693" s="55"/>
      <c r="D693" s="55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7.399999999999999">
      <c r="A694" s="40"/>
      <c r="B694" s="55"/>
      <c r="C694" s="55"/>
      <c r="D694" s="55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7.399999999999999">
      <c r="A695" s="40"/>
      <c r="B695" s="55"/>
      <c r="C695" s="55"/>
      <c r="D695" s="55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7.399999999999999">
      <c r="A696" s="40"/>
      <c r="B696" s="55"/>
      <c r="C696" s="55"/>
      <c r="D696" s="55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7.399999999999999">
      <c r="A697" s="40"/>
      <c r="B697" s="55"/>
      <c r="C697" s="55"/>
      <c r="D697" s="55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7.399999999999999">
      <c r="A698" s="40"/>
      <c r="B698" s="55"/>
      <c r="C698" s="55"/>
      <c r="D698" s="55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7.399999999999999">
      <c r="A699" s="40"/>
      <c r="B699" s="55"/>
      <c r="C699" s="55"/>
      <c r="D699" s="55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7.399999999999999">
      <c r="A700" s="40"/>
      <c r="B700" s="55"/>
      <c r="C700" s="55"/>
      <c r="D700" s="55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7.399999999999999">
      <c r="A701" s="40"/>
      <c r="B701" s="55"/>
      <c r="C701" s="55"/>
      <c r="D701" s="55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7.399999999999999">
      <c r="A702" s="40"/>
      <c r="B702" s="55"/>
      <c r="C702" s="55"/>
      <c r="D702" s="55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7.399999999999999">
      <c r="A703" s="40"/>
      <c r="B703" s="55"/>
      <c r="C703" s="55"/>
      <c r="D703" s="55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7.399999999999999">
      <c r="A704" s="40"/>
      <c r="B704" s="55"/>
      <c r="C704" s="55"/>
      <c r="D704" s="55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7.399999999999999">
      <c r="A705" s="40"/>
      <c r="B705" s="55"/>
      <c r="C705" s="55"/>
      <c r="D705" s="55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7.399999999999999">
      <c r="A706" s="40"/>
      <c r="B706" s="55"/>
      <c r="C706" s="55"/>
      <c r="D706" s="55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7.399999999999999">
      <c r="A707" s="40"/>
      <c r="B707" s="55"/>
      <c r="C707" s="55"/>
      <c r="D707" s="55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7.399999999999999">
      <c r="A708" s="40"/>
      <c r="B708" s="55"/>
      <c r="C708" s="55"/>
      <c r="D708" s="55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7.399999999999999">
      <c r="A709" s="40"/>
      <c r="B709" s="55"/>
      <c r="C709" s="55"/>
      <c r="D709" s="55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7.399999999999999">
      <c r="A710" s="40"/>
      <c r="B710" s="55"/>
      <c r="C710" s="55"/>
      <c r="D710" s="55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7.399999999999999">
      <c r="A711" s="40"/>
      <c r="B711" s="55"/>
      <c r="C711" s="55"/>
      <c r="D711" s="55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7.399999999999999">
      <c r="A712" s="40"/>
      <c r="B712" s="55"/>
      <c r="C712" s="55"/>
      <c r="D712" s="55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7.399999999999999">
      <c r="A713" s="40"/>
      <c r="B713" s="55"/>
      <c r="C713" s="55"/>
      <c r="D713" s="55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7.399999999999999">
      <c r="A714" s="40"/>
      <c r="B714" s="55"/>
      <c r="C714" s="55"/>
      <c r="D714" s="55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7.399999999999999">
      <c r="A715" s="40"/>
      <c r="B715" s="55"/>
      <c r="C715" s="55"/>
      <c r="D715" s="55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7.399999999999999">
      <c r="A716" s="40"/>
      <c r="B716" s="55"/>
      <c r="C716" s="55"/>
      <c r="D716" s="55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7.399999999999999">
      <c r="A717" s="40"/>
      <c r="B717" s="55"/>
      <c r="C717" s="55"/>
      <c r="D717" s="55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7.399999999999999">
      <c r="A718" s="40"/>
      <c r="B718" s="55"/>
      <c r="C718" s="55"/>
      <c r="D718" s="55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7.399999999999999">
      <c r="A719" s="40"/>
      <c r="B719" s="55"/>
      <c r="C719" s="55"/>
      <c r="D719" s="55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7.399999999999999">
      <c r="A720" s="40"/>
      <c r="B720" s="55"/>
      <c r="C720" s="55"/>
      <c r="D720" s="55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7.399999999999999">
      <c r="A721" s="40"/>
      <c r="B721" s="55"/>
      <c r="C721" s="55"/>
      <c r="D721" s="55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7.399999999999999">
      <c r="A722" s="40"/>
      <c r="B722" s="55"/>
      <c r="C722" s="55"/>
      <c r="D722" s="55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7.399999999999999">
      <c r="A723" s="40"/>
      <c r="B723" s="55"/>
      <c r="C723" s="55"/>
      <c r="D723" s="55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7.399999999999999">
      <c r="A724" s="40"/>
      <c r="B724" s="55"/>
      <c r="C724" s="55"/>
      <c r="D724" s="55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7.399999999999999">
      <c r="A725" s="40"/>
      <c r="B725" s="55"/>
      <c r="C725" s="55"/>
      <c r="D725" s="55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7.399999999999999">
      <c r="A726" s="40"/>
      <c r="B726" s="55"/>
      <c r="C726" s="55"/>
      <c r="D726" s="55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7.399999999999999">
      <c r="A727" s="40"/>
      <c r="B727" s="55"/>
      <c r="C727" s="55"/>
      <c r="D727" s="55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7.399999999999999">
      <c r="A728" s="40"/>
      <c r="B728" s="55"/>
      <c r="C728" s="55"/>
      <c r="D728" s="55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7.399999999999999">
      <c r="A729" s="40"/>
      <c r="B729" s="55"/>
      <c r="C729" s="55"/>
      <c r="D729" s="55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7.399999999999999">
      <c r="A730" s="40"/>
      <c r="B730" s="55"/>
      <c r="C730" s="55"/>
      <c r="D730" s="55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7.399999999999999">
      <c r="A731" s="40"/>
      <c r="B731" s="55"/>
      <c r="C731" s="55"/>
      <c r="D731" s="55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7.399999999999999">
      <c r="A732" s="40"/>
      <c r="B732" s="55"/>
      <c r="C732" s="55"/>
      <c r="D732" s="55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7.399999999999999">
      <c r="A733" s="40"/>
      <c r="B733" s="55"/>
      <c r="C733" s="55"/>
      <c r="D733" s="55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7.399999999999999">
      <c r="A734" s="40"/>
      <c r="B734" s="55"/>
      <c r="C734" s="55"/>
      <c r="D734" s="55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7.399999999999999">
      <c r="A735" s="40"/>
      <c r="B735" s="55"/>
      <c r="C735" s="55"/>
      <c r="D735" s="55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7.399999999999999">
      <c r="A736" s="40"/>
      <c r="B736" s="55"/>
      <c r="C736" s="55"/>
      <c r="D736" s="55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7.399999999999999">
      <c r="A737" s="40"/>
      <c r="B737" s="55"/>
      <c r="C737" s="55"/>
      <c r="D737" s="55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7.399999999999999">
      <c r="A738" s="40"/>
      <c r="B738" s="55"/>
      <c r="C738" s="55"/>
      <c r="D738" s="55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7.399999999999999">
      <c r="A739" s="40"/>
      <c r="B739" s="55"/>
      <c r="C739" s="55"/>
      <c r="D739" s="55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7.399999999999999">
      <c r="A740" s="40"/>
      <c r="B740" s="55"/>
      <c r="C740" s="55"/>
      <c r="D740" s="55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7.399999999999999">
      <c r="A741" s="40"/>
      <c r="B741" s="55"/>
      <c r="C741" s="55"/>
      <c r="D741" s="55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7.399999999999999">
      <c r="A742" s="40"/>
      <c r="B742" s="55"/>
      <c r="C742" s="55"/>
      <c r="D742" s="55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7.399999999999999">
      <c r="A743" s="40"/>
      <c r="B743" s="55"/>
      <c r="C743" s="55"/>
      <c r="D743" s="55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7.399999999999999">
      <c r="A744" s="40"/>
      <c r="B744" s="55"/>
      <c r="C744" s="55"/>
      <c r="D744" s="55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7.399999999999999">
      <c r="A745" s="40"/>
      <c r="B745" s="55"/>
      <c r="C745" s="55"/>
      <c r="D745" s="55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7.399999999999999">
      <c r="A746" s="40"/>
      <c r="B746" s="55"/>
      <c r="C746" s="55"/>
      <c r="D746" s="55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7.399999999999999">
      <c r="A747" s="40"/>
      <c r="B747" s="55"/>
      <c r="C747" s="55"/>
      <c r="D747" s="55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7.399999999999999">
      <c r="A748" s="40"/>
      <c r="B748" s="55"/>
      <c r="C748" s="55"/>
      <c r="D748" s="55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7.399999999999999">
      <c r="A749" s="40"/>
      <c r="B749" s="55"/>
      <c r="C749" s="55"/>
      <c r="D749" s="55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7.399999999999999">
      <c r="A750" s="40"/>
      <c r="B750" s="55"/>
      <c r="C750" s="55"/>
      <c r="D750" s="55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7.399999999999999">
      <c r="A751" s="40"/>
      <c r="B751" s="55"/>
      <c r="C751" s="55"/>
      <c r="D751" s="55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7.399999999999999">
      <c r="A752" s="40"/>
      <c r="B752" s="55"/>
      <c r="C752" s="55"/>
      <c r="D752" s="55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7.399999999999999">
      <c r="A753" s="40"/>
      <c r="B753" s="55"/>
      <c r="C753" s="55"/>
      <c r="D753" s="55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7.399999999999999">
      <c r="A754" s="40"/>
      <c r="B754" s="55"/>
      <c r="C754" s="55"/>
      <c r="D754" s="55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7.399999999999999">
      <c r="A755" s="40"/>
      <c r="B755" s="55"/>
      <c r="C755" s="55"/>
      <c r="D755" s="55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7.399999999999999">
      <c r="A756" s="40"/>
      <c r="B756" s="55"/>
      <c r="C756" s="55"/>
      <c r="D756" s="55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7.399999999999999">
      <c r="A757" s="40"/>
      <c r="B757" s="55"/>
      <c r="C757" s="55"/>
      <c r="D757" s="55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7.399999999999999">
      <c r="A758" s="40"/>
      <c r="B758" s="55"/>
      <c r="C758" s="55"/>
      <c r="D758" s="55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7.399999999999999">
      <c r="A759" s="40"/>
      <c r="B759" s="55"/>
      <c r="C759" s="55"/>
      <c r="D759" s="55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7.399999999999999">
      <c r="A760" s="40"/>
      <c r="B760" s="55"/>
      <c r="C760" s="55"/>
      <c r="D760" s="55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7.399999999999999">
      <c r="A761" s="40"/>
      <c r="B761" s="55"/>
      <c r="C761" s="55"/>
      <c r="D761" s="55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7.399999999999999">
      <c r="A762" s="40"/>
      <c r="B762" s="55"/>
      <c r="C762" s="55"/>
      <c r="D762" s="55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7.399999999999999">
      <c r="A763" s="40"/>
      <c r="B763" s="55"/>
      <c r="C763" s="55"/>
      <c r="D763" s="55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7.399999999999999">
      <c r="A764" s="40"/>
      <c r="B764" s="55"/>
      <c r="C764" s="55"/>
      <c r="D764" s="55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7.399999999999999">
      <c r="A765" s="40"/>
      <c r="B765" s="55"/>
      <c r="C765" s="55"/>
      <c r="D765" s="55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7.399999999999999">
      <c r="A766" s="40"/>
      <c r="B766" s="55"/>
      <c r="C766" s="55"/>
      <c r="D766" s="55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7.399999999999999">
      <c r="A767" s="40"/>
      <c r="B767" s="55"/>
      <c r="C767" s="55"/>
      <c r="D767" s="55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7.399999999999999">
      <c r="A768" s="40"/>
      <c r="B768" s="55"/>
      <c r="C768" s="55"/>
      <c r="D768" s="55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7.399999999999999">
      <c r="A769" s="40"/>
      <c r="B769" s="55"/>
      <c r="C769" s="55"/>
      <c r="D769" s="55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7.399999999999999">
      <c r="A770" s="40"/>
      <c r="B770" s="55"/>
      <c r="C770" s="55"/>
      <c r="D770" s="55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7.399999999999999">
      <c r="A771" s="40"/>
      <c r="B771" s="55"/>
      <c r="C771" s="55"/>
      <c r="D771" s="55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7.399999999999999">
      <c r="A772" s="40"/>
      <c r="B772" s="55"/>
      <c r="C772" s="55"/>
      <c r="D772" s="55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7.399999999999999">
      <c r="A773" s="40"/>
      <c r="B773" s="55"/>
      <c r="C773" s="55"/>
      <c r="D773" s="55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7.399999999999999">
      <c r="A774" s="40"/>
      <c r="B774" s="55"/>
      <c r="C774" s="55"/>
      <c r="D774" s="55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7.399999999999999">
      <c r="A775" s="40"/>
      <c r="B775" s="55"/>
      <c r="C775" s="55"/>
      <c r="D775" s="55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7.399999999999999">
      <c r="A776" s="40"/>
      <c r="B776" s="55"/>
      <c r="C776" s="55"/>
      <c r="D776" s="55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7.399999999999999">
      <c r="A777" s="40"/>
      <c r="B777" s="55"/>
      <c r="C777" s="55"/>
      <c r="D777" s="55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7.399999999999999">
      <c r="A778" s="40"/>
      <c r="B778" s="55"/>
      <c r="C778" s="55"/>
      <c r="D778" s="55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7.399999999999999">
      <c r="A779" s="40"/>
      <c r="B779" s="55"/>
      <c r="C779" s="55"/>
      <c r="D779" s="55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7.399999999999999">
      <c r="A780" s="40"/>
      <c r="B780" s="55"/>
      <c r="C780" s="55"/>
      <c r="D780" s="55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7.399999999999999">
      <c r="A781" s="40"/>
      <c r="B781" s="55"/>
      <c r="C781" s="55"/>
      <c r="D781" s="55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7.399999999999999">
      <c r="A782" s="40"/>
      <c r="B782" s="55"/>
      <c r="C782" s="55"/>
      <c r="D782" s="55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7.399999999999999">
      <c r="A783" s="40"/>
      <c r="B783" s="55"/>
      <c r="C783" s="55"/>
      <c r="D783" s="55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7.399999999999999">
      <c r="A784" s="40"/>
      <c r="B784" s="55"/>
      <c r="C784" s="55"/>
      <c r="D784" s="55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7.399999999999999">
      <c r="A785" s="40"/>
      <c r="B785" s="55"/>
      <c r="C785" s="55"/>
      <c r="D785" s="55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7.399999999999999">
      <c r="A786" s="40"/>
      <c r="B786" s="55"/>
      <c r="C786" s="55"/>
      <c r="D786" s="55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7.399999999999999">
      <c r="A787" s="40"/>
      <c r="B787" s="55"/>
      <c r="C787" s="55"/>
      <c r="D787" s="55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7.399999999999999">
      <c r="A788" s="40"/>
      <c r="B788" s="55"/>
      <c r="C788" s="55"/>
      <c r="D788" s="55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7.399999999999999">
      <c r="A789" s="40"/>
      <c r="B789" s="55"/>
      <c r="C789" s="55"/>
      <c r="D789" s="55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7.399999999999999">
      <c r="A790" s="40"/>
      <c r="B790" s="55"/>
      <c r="C790" s="55"/>
      <c r="D790" s="55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7.399999999999999">
      <c r="A791" s="40"/>
      <c r="B791" s="55"/>
      <c r="C791" s="55"/>
      <c r="D791" s="55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7.399999999999999">
      <c r="A792" s="40"/>
      <c r="B792" s="55"/>
      <c r="C792" s="55"/>
      <c r="D792" s="55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7.399999999999999">
      <c r="A793" s="40"/>
      <c r="B793" s="55"/>
      <c r="C793" s="55"/>
      <c r="D793" s="55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7.399999999999999">
      <c r="A794" s="40"/>
      <c r="B794" s="55"/>
      <c r="C794" s="55"/>
      <c r="D794" s="55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7.399999999999999">
      <c r="A795" s="40"/>
      <c r="B795" s="55"/>
      <c r="C795" s="55"/>
      <c r="D795" s="55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7.399999999999999">
      <c r="A796" s="40"/>
      <c r="B796" s="55"/>
      <c r="C796" s="55"/>
      <c r="D796" s="55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7.399999999999999">
      <c r="A797" s="40"/>
      <c r="B797" s="55"/>
      <c r="C797" s="55"/>
      <c r="D797" s="55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7.399999999999999">
      <c r="A798" s="40"/>
      <c r="B798" s="55"/>
      <c r="C798" s="55"/>
      <c r="D798" s="55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7.399999999999999">
      <c r="A799" s="40"/>
      <c r="B799" s="55"/>
      <c r="C799" s="55"/>
      <c r="D799" s="55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7.399999999999999">
      <c r="A800" s="40"/>
      <c r="B800" s="55"/>
      <c r="C800" s="55"/>
      <c r="D800" s="55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7.399999999999999">
      <c r="A801" s="40"/>
      <c r="B801" s="55"/>
      <c r="C801" s="55"/>
      <c r="D801" s="55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7.399999999999999">
      <c r="A802" s="40"/>
      <c r="B802" s="55"/>
      <c r="C802" s="55"/>
      <c r="D802" s="55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7.399999999999999">
      <c r="A803" s="40"/>
      <c r="B803" s="55"/>
      <c r="C803" s="55"/>
      <c r="D803" s="55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7.399999999999999">
      <c r="A804" s="40"/>
      <c r="B804" s="55"/>
      <c r="C804" s="55"/>
      <c r="D804" s="55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7.399999999999999">
      <c r="A805" s="40"/>
      <c r="B805" s="55"/>
      <c r="C805" s="55"/>
      <c r="D805" s="55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7.399999999999999">
      <c r="A806" s="40"/>
      <c r="B806" s="55"/>
      <c r="C806" s="55"/>
      <c r="D806" s="55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7.399999999999999">
      <c r="A807" s="40"/>
      <c r="B807" s="55"/>
      <c r="C807" s="55"/>
      <c r="D807" s="55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7.399999999999999">
      <c r="A808" s="40"/>
      <c r="B808" s="55"/>
      <c r="C808" s="55"/>
      <c r="D808" s="55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7.399999999999999">
      <c r="A809" s="40"/>
      <c r="B809" s="55"/>
      <c r="C809" s="55"/>
      <c r="D809" s="55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7.399999999999999">
      <c r="A810" s="40"/>
      <c r="B810" s="55"/>
      <c r="C810" s="55"/>
      <c r="D810" s="55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7.399999999999999">
      <c r="A811" s="40"/>
      <c r="B811" s="55"/>
      <c r="C811" s="55"/>
      <c r="D811" s="55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7.399999999999999">
      <c r="A812" s="40"/>
      <c r="B812" s="55"/>
      <c r="C812" s="55"/>
      <c r="D812" s="55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7.399999999999999">
      <c r="A813" s="40"/>
      <c r="B813" s="55"/>
      <c r="C813" s="55"/>
      <c r="D813" s="55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7.399999999999999">
      <c r="A814" s="40"/>
      <c r="B814" s="55"/>
      <c r="C814" s="55"/>
      <c r="D814" s="55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7.399999999999999">
      <c r="A815" s="40"/>
      <c r="B815" s="55"/>
      <c r="C815" s="55"/>
      <c r="D815" s="55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7.399999999999999">
      <c r="A816" s="40"/>
      <c r="B816" s="55"/>
      <c r="C816" s="55"/>
      <c r="D816" s="55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7.399999999999999">
      <c r="A817" s="40"/>
      <c r="B817" s="55"/>
      <c r="C817" s="55"/>
      <c r="D817" s="55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7.399999999999999">
      <c r="A818" s="40"/>
      <c r="B818" s="55"/>
      <c r="C818" s="55"/>
      <c r="D818" s="55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7.399999999999999">
      <c r="A819" s="40"/>
      <c r="B819" s="55"/>
      <c r="C819" s="55"/>
      <c r="D819" s="55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7.399999999999999">
      <c r="A820" s="40"/>
      <c r="B820" s="55"/>
      <c r="C820" s="55"/>
      <c r="D820" s="55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7.399999999999999">
      <c r="A821" s="40"/>
      <c r="B821" s="55"/>
      <c r="C821" s="55"/>
      <c r="D821" s="55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7.399999999999999">
      <c r="A822" s="40"/>
      <c r="B822" s="55"/>
      <c r="C822" s="55"/>
      <c r="D822" s="55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7.399999999999999">
      <c r="A823" s="40"/>
      <c r="B823" s="55"/>
      <c r="C823" s="55"/>
      <c r="D823" s="55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7.399999999999999">
      <c r="A824" s="40"/>
      <c r="B824" s="55"/>
      <c r="C824" s="55"/>
      <c r="D824" s="55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7.399999999999999">
      <c r="A825" s="40"/>
      <c r="B825" s="55"/>
      <c r="C825" s="55"/>
      <c r="D825" s="55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7.399999999999999">
      <c r="A826" s="40"/>
      <c r="B826" s="55"/>
      <c r="C826" s="55"/>
      <c r="D826" s="55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7.399999999999999">
      <c r="A827" s="40"/>
      <c r="B827" s="55"/>
      <c r="C827" s="55"/>
      <c r="D827" s="55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7.399999999999999">
      <c r="A828" s="40"/>
      <c r="B828" s="55"/>
      <c r="C828" s="55"/>
      <c r="D828" s="55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7.399999999999999">
      <c r="A829" s="40"/>
      <c r="B829" s="55"/>
      <c r="C829" s="55"/>
      <c r="D829" s="55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7.399999999999999">
      <c r="A830" s="40"/>
      <c r="B830" s="55"/>
      <c r="C830" s="55"/>
      <c r="D830" s="55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7.399999999999999">
      <c r="A831" s="40"/>
      <c r="B831" s="55"/>
      <c r="C831" s="55"/>
      <c r="D831" s="55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7.399999999999999">
      <c r="A832" s="40"/>
      <c r="B832" s="55"/>
      <c r="C832" s="55"/>
      <c r="D832" s="55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7.399999999999999">
      <c r="A833" s="40"/>
      <c r="B833" s="55"/>
      <c r="C833" s="55"/>
      <c r="D833" s="55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7.399999999999999">
      <c r="A834" s="40"/>
      <c r="B834" s="55"/>
      <c r="C834" s="55"/>
      <c r="D834" s="55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7.399999999999999">
      <c r="A835" s="40"/>
      <c r="B835" s="55"/>
      <c r="C835" s="55"/>
      <c r="D835" s="55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7.399999999999999">
      <c r="A836" s="40"/>
      <c r="B836" s="55"/>
      <c r="C836" s="55"/>
      <c r="D836" s="55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7.399999999999999">
      <c r="A837" s="40"/>
      <c r="B837" s="55"/>
      <c r="C837" s="55"/>
      <c r="D837" s="55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7.399999999999999">
      <c r="A838" s="40"/>
      <c r="B838" s="55"/>
      <c r="C838" s="55"/>
      <c r="D838" s="55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7.399999999999999">
      <c r="A839" s="40"/>
      <c r="B839" s="55"/>
      <c r="C839" s="55"/>
      <c r="D839" s="55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7.399999999999999">
      <c r="A840" s="40"/>
      <c r="B840" s="55"/>
      <c r="C840" s="55"/>
      <c r="D840" s="55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7.399999999999999">
      <c r="A841" s="40"/>
      <c r="B841" s="55"/>
      <c r="C841" s="55"/>
      <c r="D841" s="55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7.399999999999999">
      <c r="A842" s="40"/>
      <c r="B842" s="55"/>
      <c r="C842" s="55"/>
      <c r="D842" s="55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7.399999999999999">
      <c r="A843" s="40"/>
      <c r="B843" s="55"/>
      <c r="C843" s="55"/>
      <c r="D843" s="55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7.399999999999999">
      <c r="A844" s="40"/>
      <c r="B844" s="55"/>
      <c r="C844" s="55"/>
      <c r="D844" s="55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7.399999999999999">
      <c r="A845" s="40"/>
      <c r="B845" s="55"/>
      <c r="C845" s="55"/>
      <c r="D845" s="55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7.399999999999999">
      <c r="A846" s="40"/>
      <c r="B846" s="55"/>
      <c r="C846" s="55"/>
      <c r="D846" s="55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7.399999999999999">
      <c r="A847" s="40"/>
      <c r="B847" s="55"/>
      <c r="C847" s="55"/>
      <c r="D847" s="55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7.399999999999999">
      <c r="A848" s="40"/>
      <c r="B848" s="55"/>
      <c r="C848" s="55"/>
      <c r="D848" s="55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7.399999999999999">
      <c r="A849" s="40"/>
      <c r="B849" s="55"/>
      <c r="C849" s="55"/>
      <c r="D849" s="55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7.399999999999999">
      <c r="A850" s="40"/>
      <c r="B850" s="55"/>
      <c r="C850" s="55"/>
      <c r="D850" s="55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7.399999999999999">
      <c r="A851" s="40"/>
      <c r="B851" s="55"/>
      <c r="C851" s="55"/>
      <c r="D851" s="55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7.399999999999999">
      <c r="A852" s="40"/>
      <c r="B852" s="55"/>
      <c r="C852" s="55"/>
      <c r="D852" s="55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7.399999999999999">
      <c r="A853" s="40"/>
      <c r="B853" s="55"/>
      <c r="C853" s="55"/>
      <c r="D853" s="55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7.399999999999999">
      <c r="A854" s="40"/>
      <c r="B854" s="55"/>
      <c r="C854" s="55"/>
      <c r="D854" s="55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7.399999999999999">
      <c r="A855" s="40"/>
      <c r="B855" s="55"/>
      <c r="C855" s="55"/>
      <c r="D855" s="55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7.399999999999999">
      <c r="A856" s="40"/>
      <c r="B856" s="55"/>
      <c r="C856" s="55"/>
      <c r="D856" s="55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7.399999999999999">
      <c r="A857" s="40"/>
      <c r="B857" s="55"/>
      <c r="C857" s="55"/>
      <c r="D857" s="55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7.399999999999999">
      <c r="A858" s="40"/>
      <c r="B858" s="55"/>
      <c r="C858" s="55"/>
      <c r="D858" s="55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7.399999999999999">
      <c r="A859" s="40"/>
      <c r="B859" s="55"/>
      <c r="C859" s="55"/>
      <c r="D859" s="55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7.399999999999999">
      <c r="A860" s="40"/>
      <c r="B860" s="55"/>
      <c r="C860" s="55"/>
      <c r="D860" s="55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7.399999999999999">
      <c r="A861" s="40"/>
      <c r="B861" s="55"/>
      <c r="C861" s="55"/>
      <c r="D861" s="55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7.399999999999999">
      <c r="A862" s="40"/>
      <c r="B862" s="55"/>
      <c r="C862" s="55"/>
      <c r="D862" s="55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7.399999999999999">
      <c r="A863" s="40"/>
      <c r="B863" s="55"/>
      <c r="C863" s="55"/>
      <c r="D863" s="55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7.399999999999999">
      <c r="A864" s="40"/>
      <c r="B864" s="55"/>
      <c r="C864" s="55"/>
      <c r="D864" s="55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7.399999999999999">
      <c r="A865" s="40"/>
      <c r="B865" s="55"/>
      <c r="C865" s="55"/>
      <c r="D865" s="55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7.399999999999999">
      <c r="A866" s="40"/>
      <c r="B866" s="55"/>
      <c r="C866" s="55"/>
      <c r="D866" s="55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7.399999999999999">
      <c r="A867" s="40"/>
      <c r="B867" s="55"/>
      <c r="C867" s="55"/>
      <c r="D867" s="55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7.399999999999999">
      <c r="A868" s="40"/>
      <c r="B868" s="55"/>
      <c r="C868" s="55"/>
      <c r="D868" s="55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7.399999999999999">
      <c r="A869" s="40"/>
      <c r="B869" s="55"/>
      <c r="C869" s="55"/>
      <c r="D869" s="55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7.399999999999999">
      <c r="A870" s="40"/>
      <c r="B870" s="55"/>
      <c r="C870" s="55"/>
      <c r="D870" s="55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7.399999999999999">
      <c r="A871" s="40"/>
      <c r="B871" s="55"/>
      <c r="C871" s="55"/>
      <c r="D871" s="55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7.399999999999999">
      <c r="A872" s="40"/>
      <c r="B872" s="55"/>
      <c r="C872" s="55"/>
      <c r="D872" s="55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7.399999999999999">
      <c r="A873" s="40"/>
      <c r="B873" s="55"/>
      <c r="C873" s="55"/>
      <c r="D873" s="55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7.399999999999999">
      <c r="A874" s="40"/>
      <c r="B874" s="55"/>
      <c r="C874" s="55"/>
      <c r="D874" s="55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7.399999999999999">
      <c r="A875" s="40"/>
      <c r="B875" s="55"/>
      <c r="C875" s="55"/>
      <c r="D875" s="55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7.399999999999999">
      <c r="A876" s="40"/>
      <c r="B876" s="55"/>
      <c r="C876" s="55"/>
      <c r="D876" s="55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7.399999999999999">
      <c r="A877" s="40"/>
      <c r="B877" s="55"/>
      <c r="C877" s="55"/>
      <c r="D877" s="55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7.399999999999999">
      <c r="A878" s="40"/>
      <c r="B878" s="55"/>
      <c r="C878" s="55"/>
      <c r="D878" s="55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7.399999999999999">
      <c r="A879" s="40"/>
      <c r="B879" s="55"/>
      <c r="C879" s="55"/>
      <c r="D879" s="55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7.399999999999999">
      <c r="A880" s="40"/>
      <c r="B880" s="55"/>
      <c r="C880" s="55"/>
      <c r="D880" s="55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7.399999999999999">
      <c r="A881" s="40"/>
      <c r="B881" s="55"/>
      <c r="C881" s="55"/>
      <c r="D881" s="55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7.399999999999999">
      <c r="A882" s="40"/>
      <c r="B882" s="55"/>
      <c r="C882" s="55"/>
      <c r="D882" s="55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7.399999999999999">
      <c r="A883" s="40"/>
      <c r="B883" s="55"/>
      <c r="C883" s="55"/>
      <c r="D883" s="55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7.399999999999999">
      <c r="A884" s="40"/>
      <c r="B884" s="55"/>
      <c r="C884" s="55"/>
      <c r="D884" s="55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7.399999999999999">
      <c r="A885" s="40"/>
      <c r="B885" s="55"/>
      <c r="C885" s="55"/>
      <c r="D885" s="55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7.399999999999999">
      <c r="A886" s="40"/>
      <c r="B886" s="55"/>
      <c r="C886" s="55"/>
      <c r="D886" s="55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7.399999999999999">
      <c r="A887" s="40"/>
      <c r="B887" s="55"/>
      <c r="C887" s="55"/>
      <c r="D887" s="55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7.399999999999999">
      <c r="A888" s="40"/>
      <c r="B888" s="55"/>
      <c r="C888" s="55"/>
      <c r="D888" s="55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7.399999999999999">
      <c r="A889" s="40"/>
      <c r="B889" s="55"/>
      <c r="C889" s="55"/>
      <c r="D889" s="55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7.399999999999999">
      <c r="A890" s="40"/>
      <c r="B890" s="55"/>
      <c r="C890" s="55"/>
      <c r="D890" s="55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7.399999999999999">
      <c r="A891" s="40"/>
      <c r="B891" s="55"/>
      <c r="C891" s="55"/>
      <c r="D891" s="55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7.399999999999999">
      <c r="A892" s="40"/>
      <c r="B892" s="55"/>
      <c r="C892" s="55"/>
      <c r="D892" s="55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7.399999999999999">
      <c r="A893" s="40"/>
      <c r="B893" s="55"/>
      <c r="C893" s="55"/>
      <c r="D893" s="55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7.399999999999999">
      <c r="A894" s="40"/>
      <c r="B894" s="55"/>
      <c r="C894" s="55"/>
      <c r="D894" s="55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7.399999999999999">
      <c r="A895" s="40"/>
      <c r="B895" s="55"/>
      <c r="C895" s="55"/>
      <c r="D895" s="55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7.399999999999999">
      <c r="A896" s="40"/>
      <c r="B896" s="55"/>
      <c r="C896" s="55"/>
      <c r="D896" s="55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7.399999999999999">
      <c r="A897" s="40"/>
      <c r="B897" s="55"/>
      <c r="C897" s="55"/>
      <c r="D897" s="55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7.399999999999999">
      <c r="A898" s="40"/>
      <c r="B898" s="55"/>
      <c r="C898" s="55"/>
      <c r="D898" s="55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7.399999999999999">
      <c r="A899" s="40"/>
      <c r="B899" s="55"/>
      <c r="C899" s="55"/>
      <c r="D899" s="55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7.399999999999999">
      <c r="A900" s="40"/>
      <c r="B900" s="55"/>
      <c r="C900" s="55"/>
      <c r="D900" s="55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7.399999999999999">
      <c r="A901" s="40"/>
      <c r="B901" s="55"/>
      <c r="C901" s="55"/>
      <c r="D901" s="55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7.399999999999999">
      <c r="A902" s="40"/>
      <c r="B902" s="55"/>
      <c r="C902" s="55"/>
      <c r="D902" s="55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7.399999999999999">
      <c r="A903" s="40"/>
      <c r="B903" s="55"/>
      <c r="C903" s="55"/>
      <c r="D903" s="55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7.399999999999999">
      <c r="A904" s="40"/>
      <c r="B904" s="55"/>
      <c r="C904" s="55"/>
      <c r="D904" s="55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7.399999999999999">
      <c r="A905" s="40"/>
      <c r="B905" s="55"/>
      <c r="C905" s="55"/>
      <c r="D905" s="55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7.399999999999999">
      <c r="A906" s="40"/>
      <c r="B906" s="55"/>
      <c r="C906" s="55"/>
      <c r="D906" s="55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7.399999999999999">
      <c r="A907" s="40"/>
      <c r="B907" s="55"/>
      <c r="C907" s="55"/>
      <c r="D907" s="55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7.399999999999999">
      <c r="A908" s="40"/>
      <c r="B908" s="55"/>
      <c r="C908" s="55"/>
      <c r="D908" s="55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7.399999999999999">
      <c r="A909" s="40"/>
      <c r="B909" s="55"/>
      <c r="C909" s="55"/>
      <c r="D909" s="55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7.399999999999999">
      <c r="A910" s="40"/>
      <c r="B910" s="55"/>
      <c r="C910" s="55"/>
      <c r="D910" s="55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7.399999999999999">
      <c r="A911" s="40"/>
      <c r="B911" s="55"/>
      <c r="C911" s="55"/>
      <c r="D911" s="55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7.399999999999999">
      <c r="A912" s="40"/>
      <c r="B912" s="55"/>
      <c r="C912" s="55"/>
      <c r="D912" s="55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7.399999999999999">
      <c r="A913" s="40"/>
      <c r="B913" s="55"/>
      <c r="C913" s="55"/>
      <c r="D913" s="55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7.399999999999999">
      <c r="A914" s="40"/>
      <c r="B914" s="55"/>
      <c r="C914" s="55"/>
      <c r="D914" s="55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7.399999999999999">
      <c r="A915" s="40"/>
      <c r="B915" s="55"/>
      <c r="C915" s="55"/>
      <c r="D915" s="55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7.399999999999999">
      <c r="A916" s="40"/>
      <c r="B916" s="55"/>
      <c r="C916" s="55"/>
      <c r="D916" s="55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7.399999999999999">
      <c r="A917" s="40"/>
      <c r="B917" s="55"/>
      <c r="C917" s="55"/>
      <c r="D917" s="55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7.399999999999999">
      <c r="A918" s="40"/>
      <c r="B918" s="55"/>
      <c r="C918" s="55"/>
      <c r="D918" s="55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7.399999999999999">
      <c r="A919" s="40"/>
      <c r="B919" s="55"/>
      <c r="C919" s="55"/>
      <c r="D919" s="55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7.399999999999999">
      <c r="A920" s="40"/>
      <c r="B920" s="55"/>
      <c r="C920" s="55"/>
      <c r="D920" s="55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7.399999999999999">
      <c r="A921" s="40"/>
      <c r="B921" s="55"/>
      <c r="C921" s="55"/>
      <c r="D921" s="55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7.399999999999999">
      <c r="A922" s="40"/>
      <c r="B922" s="55"/>
      <c r="C922" s="55"/>
      <c r="D922" s="55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7.399999999999999">
      <c r="A923" s="40"/>
      <c r="B923" s="55"/>
      <c r="C923" s="55"/>
      <c r="D923" s="55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7.399999999999999">
      <c r="A924" s="40"/>
      <c r="B924" s="55"/>
      <c r="C924" s="55"/>
      <c r="D924" s="55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7.399999999999999">
      <c r="A925" s="40"/>
      <c r="B925" s="55"/>
      <c r="C925" s="55"/>
      <c r="D925" s="55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7.399999999999999">
      <c r="A926" s="40"/>
      <c r="B926" s="55"/>
      <c r="C926" s="55"/>
      <c r="D926" s="55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7.399999999999999">
      <c r="A927" s="40"/>
      <c r="B927" s="55"/>
      <c r="C927" s="55"/>
      <c r="D927" s="55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7.399999999999999">
      <c r="A928" s="40"/>
      <c r="B928" s="55"/>
      <c r="C928" s="55"/>
      <c r="D928" s="55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7.399999999999999">
      <c r="A929" s="40"/>
      <c r="B929" s="55"/>
      <c r="C929" s="55"/>
      <c r="D929" s="55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7.399999999999999">
      <c r="A930" s="40"/>
      <c r="B930" s="55"/>
      <c r="C930" s="55"/>
      <c r="D930" s="55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7.399999999999999">
      <c r="A931" s="40"/>
      <c r="B931" s="55"/>
      <c r="C931" s="55"/>
      <c r="D931" s="55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7.399999999999999">
      <c r="A932" s="40"/>
      <c r="B932" s="55"/>
      <c r="C932" s="55"/>
      <c r="D932" s="55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7.399999999999999">
      <c r="A933" s="40"/>
      <c r="B933" s="55"/>
      <c r="C933" s="55"/>
      <c r="D933" s="55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7.399999999999999">
      <c r="A934" s="40"/>
      <c r="B934" s="55"/>
      <c r="C934" s="55"/>
      <c r="D934" s="55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7.399999999999999">
      <c r="A935" s="40"/>
      <c r="B935" s="55"/>
      <c r="C935" s="55"/>
      <c r="D935" s="55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7.399999999999999">
      <c r="A936" s="40"/>
      <c r="B936" s="55"/>
      <c r="C936" s="55"/>
      <c r="D936" s="55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7.399999999999999">
      <c r="A937" s="40"/>
      <c r="B937" s="55"/>
      <c r="C937" s="55"/>
      <c r="D937" s="55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7.399999999999999">
      <c r="A938" s="40"/>
      <c r="B938" s="55"/>
      <c r="C938" s="55"/>
      <c r="D938" s="55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7.399999999999999">
      <c r="A939" s="40"/>
      <c r="B939" s="55"/>
      <c r="C939" s="55"/>
      <c r="D939" s="55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7.399999999999999">
      <c r="A940" s="40"/>
      <c r="B940" s="55"/>
      <c r="C940" s="55"/>
      <c r="D940" s="55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7.399999999999999">
      <c r="A941" s="40"/>
      <c r="B941" s="55"/>
      <c r="C941" s="55"/>
      <c r="D941" s="55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7.399999999999999">
      <c r="A942" s="40"/>
      <c r="B942" s="55"/>
      <c r="C942" s="55"/>
      <c r="D942" s="55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7.399999999999999">
      <c r="A943" s="40"/>
      <c r="B943" s="55"/>
      <c r="C943" s="55"/>
      <c r="D943" s="55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7.399999999999999">
      <c r="A944" s="40"/>
      <c r="B944" s="55"/>
      <c r="C944" s="55"/>
      <c r="D944" s="55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7.399999999999999">
      <c r="A945" s="40"/>
      <c r="B945" s="55"/>
      <c r="C945" s="55"/>
      <c r="D945" s="55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7.399999999999999">
      <c r="A946" s="40"/>
      <c r="B946" s="55"/>
      <c r="C946" s="55"/>
      <c r="D946" s="55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7.399999999999999">
      <c r="A947" s="40"/>
      <c r="B947" s="55"/>
      <c r="C947" s="55"/>
      <c r="D947" s="55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7.399999999999999">
      <c r="A948" s="40"/>
      <c r="B948" s="55"/>
      <c r="C948" s="55"/>
      <c r="D948" s="55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7.399999999999999">
      <c r="A949" s="40"/>
      <c r="B949" s="55"/>
      <c r="C949" s="55"/>
      <c r="D949" s="55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7.399999999999999">
      <c r="A950" s="40"/>
      <c r="B950" s="55"/>
      <c r="C950" s="55"/>
      <c r="D950" s="55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7.399999999999999">
      <c r="A951" s="40"/>
      <c r="B951" s="55"/>
      <c r="C951" s="55"/>
      <c r="D951" s="55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7.399999999999999">
      <c r="A952" s="40"/>
      <c r="B952" s="55"/>
      <c r="C952" s="55"/>
      <c r="D952" s="55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7.399999999999999">
      <c r="A953" s="40"/>
      <c r="B953" s="55"/>
      <c r="C953" s="55"/>
      <c r="D953" s="55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7.399999999999999">
      <c r="A954" s="40"/>
      <c r="B954" s="55"/>
      <c r="C954" s="55"/>
      <c r="D954" s="55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7.399999999999999">
      <c r="A955" s="40"/>
      <c r="B955" s="55"/>
      <c r="C955" s="55"/>
      <c r="D955" s="55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7.399999999999999">
      <c r="A956" s="40"/>
      <c r="B956" s="55"/>
      <c r="C956" s="55"/>
      <c r="D956" s="55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7.399999999999999">
      <c r="A957" s="40"/>
      <c r="B957" s="55"/>
      <c r="C957" s="55"/>
      <c r="D957" s="55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7.399999999999999">
      <c r="A958" s="40"/>
      <c r="B958" s="55"/>
      <c r="C958" s="55"/>
      <c r="D958" s="55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7.399999999999999">
      <c r="A959" s="40"/>
      <c r="B959" s="55"/>
      <c r="C959" s="55"/>
      <c r="D959" s="55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7.399999999999999">
      <c r="A960" s="40"/>
      <c r="B960" s="55"/>
      <c r="C960" s="55"/>
      <c r="D960" s="55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7.399999999999999">
      <c r="A961" s="40"/>
      <c r="B961" s="55"/>
      <c r="C961" s="55"/>
      <c r="D961" s="55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7.399999999999999">
      <c r="A962" s="40"/>
      <c r="B962" s="55"/>
      <c r="C962" s="55"/>
      <c r="D962" s="55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7.399999999999999">
      <c r="A963" s="40"/>
      <c r="B963" s="55"/>
      <c r="C963" s="55"/>
      <c r="D963" s="55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7.399999999999999">
      <c r="A964" s="40"/>
      <c r="B964" s="55"/>
      <c r="C964" s="55"/>
      <c r="D964" s="55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7.399999999999999">
      <c r="A965" s="40"/>
      <c r="B965" s="55"/>
      <c r="C965" s="55"/>
      <c r="D965" s="55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7.399999999999999">
      <c r="A966" s="40"/>
      <c r="B966" s="55"/>
      <c r="C966" s="55"/>
      <c r="D966" s="55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7.399999999999999">
      <c r="A967" s="40"/>
      <c r="B967" s="55"/>
      <c r="C967" s="55"/>
      <c r="D967" s="55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7.399999999999999">
      <c r="A968" s="40"/>
      <c r="B968" s="55"/>
      <c r="C968" s="55"/>
      <c r="D968" s="55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7.399999999999999">
      <c r="A969" s="40"/>
      <c r="B969" s="55"/>
      <c r="C969" s="55"/>
      <c r="D969" s="55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7.399999999999999">
      <c r="A970" s="40"/>
      <c r="B970" s="55"/>
      <c r="C970" s="55"/>
      <c r="D970" s="55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7.399999999999999">
      <c r="A971" s="40"/>
      <c r="B971" s="55"/>
      <c r="C971" s="55"/>
      <c r="D971" s="55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7.399999999999999">
      <c r="A972" s="40"/>
      <c r="B972" s="55"/>
      <c r="C972" s="55"/>
      <c r="D972" s="55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7.399999999999999">
      <c r="A973" s="40"/>
      <c r="B973" s="55"/>
      <c r="C973" s="55"/>
      <c r="D973" s="55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7.399999999999999">
      <c r="A974" s="40"/>
      <c r="B974" s="55"/>
      <c r="C974" s="55"/>
      <c r="D974" s="55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7.399999999999999">
      <c r="A975" s="40"/>
      <c r="B975" s="55"/>
      <c r="C975" s="55"/>
      <c r="D975" s="55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7.399999999999999">
      <c r="A976" s="40"/>
      <c r="B976" s="55"/>
      <c r="C976" s="55"/>
      <c r="D976" s="55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7.399999999999999">
      <c r="A977" s="40"/>
      <c r="B977" s="55"/>
      <c r="C977" s="55"/>
      <c r="D977" s="55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7.399999999999999">
      <c r="A978" s="40"/>
      <c r="B978" s="55"/>
      <c r="C978" s="55"/>
      <c r="D978" s="55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7.399999999999999">
      <c r="A979" s="40"/>
      <c r="B979" s="55"/>
      <c r="C979" s="55"/>
      <c r="D979" s="55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7.399999999999999">
      <c r="A980" s="40"/>
      <c r="B980" s="55"/>
      <c r="C980" s="55"/>
      <c r="D980" s="55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7.399999999999999">
      <c r="A981" s="40"/>
      <c r="B981" s="55"/>
      <c r="C981" s="55"/>
      <c r="D981" s="55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7.399999999999999">
      <c r="A982" s="40"/>
      <c r="B982" s="55"/>
      <c r="C982" s="55"/>
      <c r="D982" s="55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7.399999999999999">
      <c r="A983" s="40"/>
      <c r="B983" s="55"/>
      <c r="C983" s="55"/>
      <c r="D983" s="55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7.399999999999999">
      <c r="A984" s="40"/>
      <c r="B984" s="55"/>
      <c r="C984" s="55"/>
      <c r="D984" s="55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7.399999999999999">
      <c r="A985" s="40"/>
      <c r="B985" s="55"/>
      <c r="C985" s="55"/>
      <c r="D985" s="55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7.399999999999999">
      <c r="A986" s="40"/>
      <c r="B986" s="55"/>
      <c r="C986" s="55"/>
      <c r="D986" s="55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7.399999999999999">
      <c r="A987" s="40"/>
      <c r="B987" s="55"/>
      <c r="C987" s="55"/>
      <c r="D987" s="55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7.399999999999999">
      <c r="A988" s="40"/>
      <c r="B988" s="55"/>
      <c r="C988" s="55"/>
      <c r="D988" s="55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7.399999999999999">
      <c r="A989" s="40"/>
      <c r="B989" s="55"/>
      <c r="C989" s="55"/>
      <c r="D989" s="55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7.399999999999999">
      <c r="A990" s="40"/>
      <c r="B990" s="55"/>
      <c r="C990" s="55"/>
      <c r="D990" s="55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7.399999999999999">
      <c r="A991" s="40"/>
      <c r="B991" s="55"/>
      <c r="C991" s="55"/>
      <c r="D991" s="55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7.399999999999999">
      <c r="A992" s="40"/>
      <c r="B992" s="55"/>
      <c r="C992" s="55"/>
      <c r="D992" s="55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7.399999999999999">
      <c r="A993" s="40"/>
      <c r="B993" s="55"/>
      <c r="C993" s="55"/>
      <c r="D993" s="55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7.399999999999999">
      <c r="A994" s="40"/>
      <c r="B994" s="55"/>
      <c r="C994" s="55"/>
      <c r="D994" s="55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7.399999999999999">
      <c r="A995" s="40"/>
      <c r="B995" s="55"/>
      <c r="C995" s="55"/>
      <c r="D995" s="55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7.399999999999999">
      <c r="A996" s="40"/>
      <c r="B996" s="55"/>
      <c r="C996" s="55"/>
      <c r="D996" s="55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7.399999999999999">
      <c r="A997" s="40"/>
      <c r="B997" s="55"/>
      <c r="C997" s="55"/>
      <c r="D997" s="55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7.399999999999999">
      <c r="A998" s="40"/>
      <c r="B998" s="55"/>
      <c r="C998" s="55"/>
      <c r="D998" s="55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7.399999999999999">
      <c r="A999" s="40"/>
      <c r="B999" s="55"/>
      <c r="C999" s="55"/>
      <c r="D999" s="55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7.399999999999999">
      <c r="A1000" s="40"/>
      <c r="B1000" s="55"/>
      <c r="C1000" s="55"/>
      <c r="D1000" s="55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7.399999999999999">
      <c r="A1001" s="40"/>
      <c r="B1001" s="55"/>
      <c r="C1001" s="55"/>
      <c r="D1001" s="55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7.399999999999999">
      <c r="A1002" s="40"/>
      <c r="B1002" s="55"/>
      <c r="C1002" s="55"/>
      <c r="D1002" s="55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7.399999999999999">
      <c r="A1003" s="40"/>
      <c r="B1003" s="55"/>
      <c r="C1003" s="55"/>
      <c r="D1003" s="55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7.399999999999999">
      <c r="A1004" s="40"/>
      <c r="B1004" s="55"/>
      <c r="C1004" s="55"/>
      <c r="D1004" s="55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7.399999999999999">
      <c r="A1005" s="40"/>
      <c r="B1005" s="55"/>
      <c r="C1005" s="55"/>
      <c r="D1005" s="55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7.399999999999999">
      <c r="A1006" s="40"/>
      <c r="B1006" s="55"/>
      <c r="C1006" s="55"/>
      <c r="D1006" s="55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7.399999999999999">
      <c r="A1007" s="40"/>
      <c r="B1007" s="55"/>
      <c r="C1007" s="55"/>
      <c r="D1007" s="55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spans="1:26" ht="17.399999999999999">
      <c r="A1008" s="40"/>
      <c r="B1008" s="55"/>
      <c r="C1008" s="55"/>
      <c r="D1008" s="55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spans="1:26" ht="17.399999999999999">
      <c r="A1009" s="40"/>
      <c r="B1009" s="55"/>
      <c r="C1009" s="55"/>
      <c r="D1009" s="55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</sheetData>
  <mergeCells count="7">
    <mergeCell ref="B7:C7"/>
    <mergeCell ref="F2:F3"/>
    <mergeCell ref="B2:C2"/>
    <mergeCell ref="B3:C3"/>
    <mergeCell ref="B4:C4"/>
    <mergeCell ref="B5:C5"/>
    <mergeCell ref="B6:C6"/>
  </mergeCells>
  <phoneticPr fontId="10" type="noConversion"/>
  <dataValidations count="1">
    <dataValidation type="list" allowBlank="1" showErrorMessage="1" sqref="H10:H109" xr:uid="{00000000-0002-0000-0100-000000000000}">
      <formula1>"Pass,Fail,Not Test,Blocked,N/A"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Plan</vt:lpstr>
      <vt:lpstr>TC_Battle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rpdla</cp:lastModifiedBy>
  <dcterms:modified xsi:type="dcterms:W3CDTF">2026-05-04T13:30:06Z</dcterms:modified>
</cp:coreProperties>
</file>