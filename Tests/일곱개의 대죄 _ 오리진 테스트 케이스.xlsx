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TC_전투" sheetId="2" r:id="rId6"/>
  </sheets>
  <definedNames/>
  <calcPr/>
</workbook>
</file>

<file path=xl/sharedStrings.xml><?xml version="1.0" encoding="utf-8"?>
<sst xmlns="http://schemas.openxmlformats.org/spreadsheetml/2006/main" count="683" uniqueCount="405">
  <si>
    <t>QA Plan</t>
  </si>
  <si>
    <t>1. 테스트 범위</t>
  </si>
  <si>
    <t>[테스트 범위]</t>
  </si>
  <si>
    <t>1. 기능 테스트</t>
  </si>
  <si>
    <t>- 태그 전투 시스템 정상 동작 여부 확인</t>
  </si>
  <si>
    <t>- 전투 중 캐릭터 교체 입력 시 정상 전환 여부</t>
  </si>
  <si>
    <t>- 교체 시 태그 스킬 자동 발동 여부</t>
  </si>
  <si>
    <t>- 태그 스킬 발동 시 이펙트 및 데미지 정상 적용 여부</t>
  </si>
  <si>
    <t>- 캐릭터 상태(넉백, 피격 등)에 따른 교체 가능 여부 확인</t>
  </si>
  <si>
    <t>2. 전투 연계 테스트</t>
  </si>
  <si>
    <t>- 캐릭터 교체 후 스킬 연계 정상 동작 여부</t>
  </si>
  <si>
    <t>- 태그 스킬 → 일반 스킬 연계 흐름 확인</t>
  </si>
  <si>
    <t>- 적 공격 타이밍에 따른 카운터(반격) 동작 여부</t>
  </si>
  <si>
    <t>3. 예외 상황 테스트</t>
  </si>
  <si>
    <t>- 스킬 사용 중 교체 시 충돌 여부</t>
  </si>
  <si>
    <t>- 교체 직전 피격 시 상태 처리 정상 여부</t>
  </si>
  <si>
    <t>- 쿨타임 및 리소스(TP 등) 정상 적용 여부</t>
  </si>
  <si>
    <t>4. UX / 피드백 테스트</t>
  </si>
  <si>
    <t>- 태그 가능 상태 UI 표시 여부</t>
  </si>
  <si>
    <t>- 태그 스킬 발동 타이밍 피드백 적절성</t>
  </si>
  <si>
    <t>- 교체 시 카메라 및 연출 자연스러움</t>
  </si>
  <si>
    <t>[테스트 제외 사항]</t>
  </si>
  <si>
    <t>1. 데미지 수치 밸런스 검증 제외</t>
  </si>
  <si>
    <t>2. 캐릭터 성장 및 스탯 관련 수치 검증 제외</t>
  </si>
  <si>
    <t>3. 전체 콘텐츠(퀘스트, 스토리 등) 진행 여부 제외</t>
  </si>
  <si>
    <t>2. 테스트 환경 (최소사양 정의)</t>
  </si>
  <si>
    <t>구분</t>
  </si>
  <si>
    <t>최소 사양</t>
  </si>
  <si>
    <t>비고</t>
  </si>
  <si>
    <t>AOS</t>
  </si>
  <si>
    <t>갤럭시 S20</t>
  </si>
  <si>
    <t>iOS</t>
  </si>
  <si>
    <t>iPhone 12 Pro (4GB)</t>
  </si>
  <si>
    <t>PC</t>
  </si>
  <si>
    <t>i5 / 16GB</t>
  </si>
  <si>
    <t>3. 테스트 우선 순위</t>
  </si>
  <si>
    <t>1순위 (Critical)</t>
  </si>
  <si>
    <t>- 캐릭터 교체 기능 정상 동작 여부</t>
  </si>
  <si>
    <t>- 태그 스킬 발동 여부 및 전투 영향</t>
  </si>
  <si>
    <t>- 교체 중 게임 진행 불가(프리징, 크래시) 여부</t>
  </si>
  <si>
    <t>2순위 (High)</t>
  </si>
  <si>
    <t>- 태그 스킬 타이밍 및 반응성</t>
  </si>
  <si>
    <t>- 스킬 연계 및 전투 흐름 유지 여부</t>
  </si>
  <si>
    <t>- 전투 중 상태 이상 처리 (넉백, 피격 등)</t>
  </si>
  <si>
    <t>3순위 (Medium)</t>
  </si>
  <si>
    <t>- UI 표시 및 피드백 정확성</t>
  </si>
  <si>
    <t>- 연출 자연스러움 및 카메라 처리</t>
  </si>
  <si>
    <t>4. 리스크</t>
  </si>
  <si>
    <t>- 캐릭터 교체 타이밍에 따른 상태 충돌 (피격, 넉백 중 교체)</t>
  </si>
  <si>
    <t>- 태그 스킬 발동 누락 또는 중복 발동 가능성</t>
  </si>
  <si>
    <t>- 교체 시 애니메이션 및 판정 불일치</t>
  </si>
  <si>
    <t>- 전투 중 잦은 교체로 인한 성능 저하 가능성</t>
  </si>
  <si>
    <t>- 네트워크 환경에서 입력 지연으로 인한 타이밍 오류</t>
  </si>
  <si>
    <t>5. 테스트 종료 기준</t>
  </si>
  <si>
    <t>- Critical / High 등급 버그 0건</t>
  </si>
  <si>
    <t>- 주요 전투 흐름 정상 동작 확인</t>
  </si>
  <si>
    <t>- 태그 전투 기능 플레이 불가 이슈 없음</t>
  </si>
  <si>
    <t>심각한 버그 수정 완료</t>
  </si>
  <si>
    <t>- 캐릭터 교체 불가, 태그 스킬 미발동 등 주요 기능 오류 0건</t>
  </si>
  <si>
    <t>Count</t>
  </si>
  <si>
    <t>Progress</t>
  </si>
  <si>
    <t>Test Case 참고사항</t>
  </si>
  <si>
    <t>Total</t>
  </si>
  <si>
    <t>Pass : 검수 기준을 통과한 사항</t>
  </si>
  <si>
    <t>Pass</t>
  </si>
  <si>
    <t>Fail</t>
  </si>
  <si>
    <t>Fail : 검수 기준에 미달하거나 기대 결과대로 기능 동작이 되지 않는 사항</t>
  </si>
  <si>
    <t>Blocked</t>
  </si>
  <si>
    <t>Not Test : 테스트를 수행하지 않은 사항</t>
  </si>
  <si>
    <t>NotTest</t>
  </si>
  <si>
    <t>Blocked : 어떤 사유로 테스트를 할 수 없는 사항</t>
  </si>
  <si>
    <t>N/A</t>
  </si>
  <si>
    <t>N/A : 테스트 제외 사항, 전체 진행상황(Progress) 집계에서 제외항목</t>
  </si>
  <si>
    <t>NO</t>
  </si>
  <si>
    <t>대분류</t>
  </si>
  <si>
    <t>중분류</t>
  </si>
  <si>
    <t>사전조건</t>
  </si>
  <si>
    <t>테스트 액션</t>
  </si>
  <si>
    <t>기대 결과</t>
  </si>
  <si>
    <t>수행 결과</t>
  </si>
  <si>
    <t>테스트 수행자</t>
  </si>
  <si>
    <t>수행 날짜</t>
  </si>
  <si>
    <t>Notes</t>
  </si>
  <si>
    <t>전투 UI</t>
  </si>
  <si>
    <t>레이드 타이머</t>
  </si>
  <si>
    <t>서버 접속 및 보스전(붉은 마신) 진입 상태</t>
  </si>
  <si>
    <t>화면 상단 중앙의 타이머 영역을 확인한다.</t>
  </si>
  <si>
    <t>00:00:00 형식의 타이머 UI가 정상 노출된다.</t>
  </si>
  <si>
    <t>Not Test</t>
  </si>
  <si>
    <t>보스전 시작 및 캐릭터 조작 가능 상태</t>
  </si>
  <si>
    <t>타이머의 숫자 변화를 실시간으로 관찰한다.</t>
  </si>
  <si>
    <t>타이머 수치가 1초 단위로 실시간 차감(카운트다운)된다.</t>
  </si>
  <si>
    <t>전투 중 다수의 데미지 텍스트 및 이펙트 발생 상태</t>
  </si>
  <si>
    <t>화려한 이펙트가 발생하는 상황에서 타이머를 확인한다.</t>
  </si>
  <si>
    <t>타이머 숫자가 배경 이펙트와 분리되어 명확히 식별된다.</t>
  </si>
  <si>
    <t>보스 정보</t>
  </si>
  <si>
    <t>보스(붉은 마신) 타깃팅 활성화 상태</t>
  </si>
  <si>
    <t>타이머 하단 중앙의 텍스트 영역을 확인한다.</t>
  </si>
  <si>
    <t>붉은 마신' 이름 텍스트가 정상 노출된다.</t>
  </si>
  <si>
    <t>보스 타깃팅 활성화 상태</t>
  </si>
  <si>
    <t>보스 이름 왼쪽의 레벨 표시 영역을 확인한다.</t>
  </si>
  <si>
    <t>보스의 레벨 정보(Lv.22)가 주황색 텍스트로 노출된다.</t>
  </si>
  <si>
    <t>미니맵</t>
  </si>
  <si>
    <t>서버 접속 및 게임 월드 진입 상태</t>
  </si>
  <si>
    <t>화면 우측 상단의 원형 UI 영역을 확인한다.</t>
  </si>
  <si>
    <t>원형 미니맵 UI가 레이어 최상단에 정상 노출된다.</t>
  </si>
  <si>
    <t>게임 내 시간 시스템 정상 작동 상태</t>
  </si>
  <si>
    <t>미니맵 상단 중앙의 숫자 표시를 확인한다.</t>
  </si>
  <si>
    <t>현재 게임 시간(04:51)이 텍스트로 표시된다.</t>
  </si>
  <si>
    <t>서버 접속 상태</t>
  </si>
  <si>
    <t>미니맵 하단의 영문자 표시를 확인한다.</t>
  </si>
  <si>
    <t>현재 접속 중인 서버 채널 정보(M)가 표시된다.</t>
  </si>
  <si>
    <t>게임 플레이 중 캐릭터 위치 이동 상태</t>
  </si>
  <si>
    <t>캐릭터를 이동시키며 미니맵 내부를 관찰한다.</t>
  </si>
  <si>
    <t>현재 위치한 지형의 고저차와 길이 실시간으로 로드된다.</t>
  </si>
  <si>
    <t>마우스 조작으로 카메라 시점 회전 상태</t>
  </si>
  <si>
    <t>마우스를 좌우로 움직여 시점을 회전시킨다.</t>
  </si>
  <si>
    <t>미니맵 테두리의 방위 표시(N, S, E, W)가 시점에 맞춰 연동된다.</t>
  </si>
  <si>
    <t>메뉴</t>
  </si>
  <si>
    <t>게임 플레이 중 필드 대기 상태</t>
  </si>
  <si>
    <t>화면 우측 상단 끝의 아이콘 영역을 확인한다.</t>
  </si>
  <si>
    <t>세 줄 모양의 메뉴 아이콘이 정상 노출된다.</t>
  </si>
  <si>
    <t>키보드 ESC 키 입력 가능 상태</t>
  </si>
  <si>
    <t>키보드의 ESC 키를 1회 입력한다.</t>
  </si>
  <si>
    <t>일시정지 아이콘이 출력되며 전체 메뉴 UI가 호출된다.</t>
  </si>
  <si>
    <t>보스 HP바</t>
  </si>
  <si>
    <t>보스전 진입 및 보스 타깃팅 상태</t>
  </si>
  <si>
    <t>보스 이름 하단의 바(Bar) 영역을 확인한다.</t>
  </si>
  <si>
    <t>빨간색 보스 전용 HP바가 가로로 길게 노출된다.</t>
  </si>
  <si>
    <t>캐릭터가 보스를 공격하여 데미지 가함</t>
  </si>
  <si>
    <t>보스를 타격한 후 HP바의 게이지를 확인한다.</t>
  </si>
  <si>
    <t>보스 타격 시 HP바 게이지가 실시간으로 감소한다.</t>
  </si>
  <si>
    <t>보스전 UI 활성화 상태</t>
  </si>
  <si>
    <t>HP바 양 끝의 장식 문양을 확인한다.</t>
  </si>
  <si>
    <t>HP바 양 끝의 금속 장식 요소가 이미지와 동일하게 출력된다.</t>
  </si>
  <si>
    <t>보스 상태</t>
  </si>
  <si>
    <t>보스에게 디버프 스킬 적중 상태</t>
  </si>
  <si>
    <t>보스 HP바 하단 중앙 영역을 확인한다.</t>
  </si>
  <si>
    <t>적용된 상태 이상 아이콘들이 가로로 나열되어 노출된다.</t>
  </si>
  <si>
    <t>보스 속성 설정 상태</t>
  </si>
  <si>
    <t>보스 HP바 왼쪽의 원형 아이콘을 확인한다.</t>
  </si>
  <si>
    <t>보스의 속성 아이콘 및 원형 게이지가 정상 노출된다.</t>
  </si>
  <si>
    <t>보스 모델링 로드 완료 상태</t>
  </si>
  <si>
    <t>보스 외형과 HP바 옆의 속성 아이콘을 비교한다.</t>
  </si>
  <si>
    <t>보스 모델링의 특징과 속성 아이콘의 종류가 일치한다.</t>
  </si>
  <si>
    <t>전투 시스템</t>
  </si>
  <si>
    <t>보스 모델링</t>
  </si>
  <si>
    <t>보스전 진입 및 연출 재생 상태</t>
  </si>
  <si>
    <t>화면 중앙의 보스 캐릭터를 확인한다.</t>
  </si>
  <si>
    <t>붉은 마신'의 거대 모델링이 정상적으로 출력된다.</t>
  </si>
  <si>
    <t>보스가 강력한 공격 패턴 시전 직전 상태</t>
  </si>
  <si>
    <t>보스의 공격 전조 현상을 관찰한다.</t>
  </si>
  <si>
    <t>적의 몸체 외곽선이 푸른색으로 빛나는 연출이 발생한다.</t>
  </si>
  <si>
    <t>보스가 공격 패턴 애니메이션 시전 상태</t>
  </si>
  <si>
    <t>보스의 움직임을 실시간으로 관찰한다.</t>
  </si>
  <si>
    <t>보스의 공격 동작 애니메이션이 프레임 드랍 없이 재생된다.</t>
  </si>
  <si>
    <t>캐릭터가 강력한 스킬로 보스 타격 상태</t>
  </si>
  <si>
    <t>보스 타격 시 보스의 반응을 확인한다.</t>
  </si>
  <si>
    <t>타격에 반응하여 보스 모델링이 움찔하거나 밀려난다.</t>
  </si>
  <si>
    <t>사운드</t>
  </si>
  <si>
    <t>스피커 또는 이어폰 연결 상태</t>
  </si>
  <si>
    <t>스킬 단축키를 입력하여 스킬을 시전한다.</t>
  </si>
  <si>
    <t>기획된 고유의 효과음이 지연 없이 정상 출력된다.</t>
  </si>
  <si>
    <t>전투 연출</t>
  </si>
  <si>
    <t>데미지 텍스트</t>
  </si>
  <si>
    <t>캐릭터의 일반 공격(마우스 좌클릭) 적중</t>
  </si>
  <si>
    <t>보스 신체 타격 지점의 숫자를 확인한다.</t>
  </si>
  <si>
    <t>흰색 숫자로 데미지 수치가 화면에 출력된다.</t>
  </si>
  <si>
    <t>캐릭터의 치명타 확률 발동 및 적중</t>
  </si>
  <si>
    <t>보라색의 크고 화려한 크리티컬 데미지 숫자가 출력된다.</t>
  </si>
  <si>
    <t>데미지 텍스트 발생 직후 상태</t>
  </si>
  <si>
    <t>숫자가 출력된 후의 움직임을 관찰한다.</t>
  </si>
  <si>
    <t>숫자가 위로 떠오르며 서서히 투명하게 사라진다.</t>
  </si>
  <si>
    <t>데미지 발생 및 텍스트 출력 상태</t>
  </si>
  <si>
    <t>출력되는 숫자의 서체 디자인을 확인한다.</t>
  </si>
  <si>
    <t>숫자의 서체가 기획된 전용 데미지 폰트 이미지로 노출된다.</t>
  </si>
  <si>
    <t>이펙트</t>
  </si>
  <si>
    <t>캐릭터가 속성 스킬 시전 및 적중</t>
  </si>
  <si>
    <t>보스 신체 부위의 파티클을 확인한다.</t>
  </si>
  <si>
    <t>타격 및 폭발 파티클 이펙트가 보스 주변에 정상 출력된다.</t>
  </si>
  <si>
    <t>캐릭터 간 시너지 스킬 발동 조건 충족</t>
  </si>
  <si>
    <t>캐릭터 주변의 특수 효과를 확인한다.</t>
  </si>
  <si>
    <t>보라색 구체 등 시너지 전용 이펙트가 캐릭터 주변에 노출된다.</t>
  </si>
  <si>
    <t>파티원 UI</t>
  </si>
  <si>
    <t>4인 파티 편성 및 서버 접속 상태</t>
  </si>
  <si>
    <t>화면 우측 중앙의 캐릭터 리스트를 확인한다.</t>
  </si>
  <si>
    <t>캐릭터 4명의 초상화 아이콘이 세로로 정렬되어 노출된다.</t>
  </si>
  <si>
    <t>파티 1번 슬롯 캐릭터 배치 상태</t>
  </si>
  <si>
    <t>1번 캐릭터 초상화 왼쪽 영역을 확인한다.</t>
  </si>
  <si>
    <t>숫자 '1' 단축키 가이드가 아이콘 옆에 표시된다.</t>
  </si>
  <si>
    <t>파티 2번 슬롯 캐릭터 배치 상태</t>
  </si>
  <si>
    <t>2번 캐릭터 초상화 왼쪽 영역을 확인한다.</t>
  </si>
  <si>
    <t>숫자 '2' 단축키 가이드가 아이콘 옆에 표시된다.</t>
  </si>
  <si>
    <t>파티 3번 슬롯 캐릭터 배치 상태</t>
  </si>
  <si>
    <t>3번 캐릭터 초상화 왼쪽 영역을 확인한다.</t>
  </si>
  <si>
    <t>숫자 '3' 단축키 가이드가 아이콘 옆에 표시된다.</t>
  </si>
  <si>
    <t>파티 4번 슬롯 캐릭터 배치 상태</t>
  </si>
  <si>
    <t>4번 캐릭터 초상화 왼쪽 영역을 확인한다.</t>
  </si>
  <si>
    <t>숫자 '4' 단축키 가이드가 아이콘 옆에 표시된다.</t>
  </si>
  <si>
    <t>태그 포인트 모두 소모(0개) 상태</t>
  </si>
  <si>
    <t>초상화 하단의 포인트 아이콘을 확인한다.</t>
  </si>
  <si>
    <t>태그 포인트 아이콘이 회색(비활성)으로 표시된다.</t>
  </si>
  <si>
    <t>캐릭터가 적을 공격하여 게이지 획득 중</t>
  </si>
  <si>
    <t>태그 포인트 아이콘의 변화를 관찰한다.</t>
  </si>
  <si>
    <t>아이콘이 파란색으로 깜빡깜빡하며 충전 중임을 나타낸다.</t>
  </si>
  <si>
    <t>태그 게이지 1000 누적 완료 상태</t>
  </si>
  <si>
    <t>태그 포인트 아이콘의 상태를 확인한다.</t>
  </si>
  <si>
    <t>포인트 아이콘이 파란색으로 완전히 점등되어 노출된다.</t>
  </si>
  <si>
    <t>보스가 푸른색 빛을 내며 공격 시전 상태</t>
  </si>
  <si>
    <t>대기 중인 캐릭터 초상화 영역을 확인한다.</t>
  </si>
  <si>
    <t>초상화에 푸른색 휘두르는(스윙) 효과 연출이 나타난다.</t>
  </si>
  <si>
    <t>각 캐릭터에게 고유 속성 설정 상태</t>
  </si>
  <si>
    <t>초상화 우측 상단의 마크를 확인한다.</t>
  </si>
  <si>
    <t>해당 캐릭터의 속성 아이콘이 컬러로 노출된다.</t>
  </si>
  <si>
    <t>파티원 정보 로드 완료 상태</t>
  </si>
  <si>
    <t>초상화 하단의 텍스트 영역을 확인한다.</t>
  </si>
  <si>
    <t>캐릭터 이름 텍스트가 잘림 없이 정상 노출된다.</t>
  </si>
  <si>
    <t>숫자키를 눌러 캐릭터 교체 직후 상태</t>
  </si>
  <si>
    <t>교체된 캐릭터 아이콘의 밝기를 확인한다.</t>
  </si>
  <si>
    <t>아이콘이 어두워지며 재사용 대기 시간이 표시된다.</t>
  </si>
  <si>
    <t>파티원 중 한 명의 HP가 0이 된 상태</t>
  </si>
  <si>
    <t>해당 캐릭터의 초상화 상태를 확인한다.</t>
  </si>
  <si>
    <t>초상화가 비활성화 처리되어 교체 불가 상태임을 나타낸다.</t>
  </si>
  <si>
    <t>특정 캐릭터 조작 중인 상태</t>
  </si>
  <si>
    <t>조작 중인 캐릭터의 초상화 테두리를 확인한다.</t>
  </si>
  <si>
    <t>현재 조작 중인 캐릭터 아이콘에 테두리 강조 효과가 적용된다.</t>
  </si>
  <si>
    <t>시너지 발동 조건(특정 조합) 충족 상태</t>
  </si>
  <si>
    <t>초상화 주변의 파티클 효과를 확인한다.</t>
  </si>
  <si>
    <t>초상화 주변에 시너지 발동 가능을 알리는 특수 연출이 나타난다.</t>
  </si>
  <si>
    <t>하단 왼쪽 UI</t>
  </si>
  <si>
    <t>화면 좌측 하단의 아이콘 영역을 확인한다.</t>
  </si>
  <si>
    <t>Z 단축키 메뉴 아이콘이 정상적으로 노출된다.</t>
  </si>
  <si>
    <t>키보드 Z 키 입력 가능 상태</t>
  </si>
  <si>
    <t>키보드의 Z 키를 1회 입력한다.</t>
  </si>
  <si>
    <t>해당 메뉴(인벤토리 등) UI가 화면에 정상 호출된다.</t>
  </si>
  <si>
    <t>Z 아이콘 우측의 텍스트를 확인한다.</t>
  </si>
  <si>
    <t>Enter' 단축키 가이드 텍스트가 노출된다.</t>
  </si>
  <si>
    <t>Enter 가이드 우측의 아이콘을 확인한다.</t>
  </si>
  <si>
    <t>말풍선 모양의 채팅 아이콘이 정상 노출된다.</t>
  </si>
  <si>
    <t>키보드 Enter 키 입력 가능 상태</t>
  </si>
  <si>
    <t>키보드의 Enter 키를 1회 입력한다.</t>
  </si>
  <si>
    <t>화면 좌측 하단에 채팅 입력 필드가 활성화된다.</t>
  </si>
  <si>
    <t>캐릭터 HP바</t>
  </si>
  <si>
    <t>서버 접속 및 전투 지역 진입 상태</t>
  </si>
  <si>
    <t>화면 하단 중앙의 바(Bar) 영역을 확인한다.</t>
  </si>
  <si>
    <t>녹색의 캐릭터 전용 HP바가 정상 노출된다.</t>
  </si>
  <si>
    <t>캐릭터 정보 로드 완료 상태</t>
  </si>
  <si>
    <t>HP바 내부의 숫자 텍스트를 확인한다.</t>
  </si>
  <si>
    <t>현재 HP / 최대 HP' 수치가 텍스트로 표시된다.</t>
  </si>
  <si>
    <t>보스의 공격에 캐릭터가 피격된 상태</t>
  </si>
  <si>
    <t>HP바의 게이지 변화를 관찰한다.</t>
  </si>
  <si>
    <t>데미지량만큼 녹색 게이지가 즉시 감소하며 수치가 갱신된다.</t>
  </si>
  <si>
    <t>캐릭터 레벨 정보 로드 상태</t>
  </si>
  <si>
    <t>HP바 왼쪽 상단의 텍스트를 확인한다.</t>
  </si>
  <si>
    <t>LV.31' 형식의 레벨 정보가 흰색으로 노출된다.</t>
  </si>
  <si>
    <t>조작 캐릭터 선택 상태</t>
  </si>
  <si>
    <t>HP바 상단 중앙의 텍스트를 확인한다.</t>
  </si>
  <si>
    <t>현재 조작 중인 캐릭터 이름이 정상 노출된다.</t>
  </si>
  <si>
    <t>캐릭터 HP가 전체의 20% 미만인 상태</t>
  </si>
  <si>
    <t>HP바의 연출 변화를 관찰한다.</t>
  </si>
  <si>
    <t>HP바 전체가 붉은색으로 깜빡이며 위급 상황임을 알린다.</t>
  </si>
  <si>
    <t>마력(MP)바</t>
  </si>
  <si>
    <t>캐릭터 HP바 하단의 바 영역을 확인한다.</t>
  </si>
  <si>
    <t>파란색의 마력(MP) 게이지 바가 정상 노출된다.</t>
  </si>
  <si>
    <t>MP바 내부의 숫자 텍스트를 확인한다.</t>
  </si>
  <si>
    <t>현재 보유한 마력 수치가 숫자로 표시된다.</t>
  </si>
  <si>
    <t>키보드 Q 또는 E 키를 눌러 스킬 시전</t>
  </si>
  <si>
    <t>MP바의 게이지 변화를 관찰한다.</t>
  </si>
  <si>
    <t>스킬 소모 마력만큼 파란색 게이지가 즉시 차감된다.</t>
  </si>
  <si>
    <t>마력 소모 후 대기 상태</t>
  </si>
  <si>
    <t>MP바의 게이지 회복을 관찰한다.</t>
  </si>
  <si>
    <t>시간에 따라 MP 게이지가 서서히 자동 회복된다.</t>
  </si>
  <si>
    <t>별의 서 마력</t>
  </si>
  <si>
    <t>별의 서 시스템 활성화 상태</t>
  </si>
  <si>
    <t>캐릭터 HP바 하단 좌측의 아이콘을 확인한다.</t>
  </si>
  <si>
    <t>보라색 원형 마력 포인트 아이콘이 노출된다.</t>
  </si>
  <si>
    <t>마력 포인트 획득 상태</t>
  </si>
  <si>
    <t>보라색 아이콘 옆의 숫자를 확인한다.</t>
  </si>
  <si>
    <t>보유한 포인트 숫자가 아이콘 옆에 정확히 표시된다.</t>
  </si>
  <si>
    <t>별의 서 전용 특수 스킬 시전</t>
  </si>
  <si>
    <t>보라색 아이콘의 숫자 변화를 확인한다.</t>
  </si>
  <si>
    <t>스킬 사용 즉시 마력 포인트 숫자가 차감된다.</t>
  </si>
  <si>
    <t>적 처치 등으로 포인트 획득 시</t>
  </si>
  <si>
    <t>보라색 아이콘의 연출을 확인한다.</t>
  </si>
  <si>
    <t>포인트 획득 시 보라색 아이콘이 일시적으로 밝게 빛난다.</t>
  </si>
  <si>
    <t>캐릭터 버프</t>
  </si>
  <si>
    <t>버프 스킬 시전 또는 효과 적용 상태</t>
  </si>
  <si>
    <t>캐릭터 HP바 상단 영역을 확인한다.</t>
  </si>
  <si>
    <t>적용 중인 버프 아이콘들이 가로로 즉시 생성된다.</t>
  </si>
  <si>
    <t>버프 효과 적용 중인 상태</t>
  </si>
  <si>
    <t>버프 아이콘 테두리의 변화를 관찰한다.</t>
  </si>
  <si>
    <t>아이콘 테두리에 남은 시간을 알리는 게이지가 표시된다.</t>
  </si>
  <si>
    <t>시너지 발동 조건 충족 상태</t>
  </si>
  <si>
    <t>화면 중앙의 텍스트 박스를 확인한다.</t>
  </si>
  <si>
    <t>화염 속성 피해 증가' 문구가 파란색 박스로 노출된다.</t>
  </si>
  <si>
    <t>동일한 버프를 중복 적용한 상태</t>
  </si>
  <si>
    <t>버프 아이콘 우측 하단을 확인한다.</t>
  </si>
  <si>
    <t>아이콘 우측 하단에 중첩 횟수 숫자가 노출된다.</t>
  </si>
  <si>
    <t>버프 지속 시간 만료 상태</t>
  </si>
  <si>
    <t>버프 아이콘의 소멸 여부를 확인한다.</t>
  </si>
  <si>
    <t>지속 시간이 끝나는 즉시 해당 아이콘이 UI에서 제거된다.</t>
  </si>
  <si>
    <t>하단 오른쪽 UI</t>
  </si>
  <si>
    <t>모험 스킬 습득 상태</t>
  </si>
  <si>
    <t>화면 우측 하단 스킬창 왼쪽을 확인한다.</t>
  </si>
  <si>
    <t>T 단축키 아이콘이 정상적으로 노출된다.</t>
  </si>
  <si>
    <t>키보드 T 키 입력 가능 상태</t>
  </si>
  <si>
    <t>키보드의 T 키를 1회 입력한다.</t>
  </si>
  <si>
    <t>캐릭터가 탈것에 탑승하거나 모험 스킬을 시전한다.</t>
  </si>
  <si>
    <t>일반 스킬 1번 장착 상태</t>
  </si>
  <si>
    <t>화면 우측 하단 스킬창의 아이콘을 확인한다.</t>
  </si>
  <si>
    <t>Q 단축키 아이콘이 정상적으로 노출된다.</t>
  </si>
  <si>
    <t>키보드 Q 키 입력 가능 상태</t>
  </si>
  <si>
    <t>키보드의 Q 키를 1회 입력한다.</t>
  </si>
  <si>
    <t>해당 스킬이 발동되며 캐릭터 애니메이션이 재생된다.</t>
  </si>
  <si>
    <t>Q 스킬 사용 직후 상태</t>
  </si>
  <si>
    <t>Q 아이콘 중앙의 숫자 표시를 확인한다.</t>
  </si>
  <si>
    <t>아이콘이 어두워지며 남은 쿨타임 초가 표시된다.</t>
  </si>
  <si>
    <t>일반 스킬 2번 장착 상태</t>
  </si>
  <si>
    <t>E 단축키 아이콘이 정상적으로 노출된다.</t>
  </si>
  <si>
    <t>키보드 E 키 입력 가능 상태</t>
  </si>
  <si>
    <t>키보드의 E 키를 1회 입력한다.</t>
  </si>
  <si>
    <t>E 스킬 사용 직후 상태</t>
  </si>
  <si>
    <t>E 아이콘 중앙의 숫자 표시를 확인한다.</t>
  </si>
  <si>
    <t>필살기 게이지 100% 충전 상태</t>
  </si>
  <si>
    <t>스킬창 우측의 아이콘을 확인한다.</t>
  </si>
  <si>
    <t>R 단축키 필살기 아이콘이 활성화되어 노출된다.</t>
  </si>
  <si>
    <t>키보드 R 키 입력 가능 상태</t>
  </si>
  <si>
    <t>키보드의 R 키를 1회 입력한다.</t>
  </si>
  <si>
    <t>전용 필살기 컷신 연출과 함께 스킬이 발동된다.</t>
  </si>
  <si>
    <t>캐릭터 조작 가능 상태</t>
  </si>
  <si>
    <t>스킬창 중앙의 아이콘을 확인한다.</t>
  </si>
  <si>
    <t>칼 모양의 기본 공격 아이콘이 정상 노출된다.</t>
  </si>
  <si>
    <t>스킬창 우측 하단의 아이콘을 확인한다.</t>
  </si>
  <si>
    <t>신발 모양의 회피 아이콘이 정상 노출된다.</t>
  </si>
  <si>
    <t>미습득 스킬 슬롯 존재 상태</t>
  </si>
  <si>
    <t>비어있는 스킬 슬롯을 확인한다.</t>
  </si>
  <si>
    <t>해당 슬롯이 자물쇠 모양 아이콘으로 표시된다.</t>
  </si>
  <si>
    <t>상태 이상(침묵 등) 적용 상태</t>
  </si>
  <si>
    <t>스킬 아이콘의 색상 변화를 확인한다.</t>
  </si>
  <si>
    <t>모든 스킬 아이콘이 붉게 변하며 키 입력이 차단된다.</t>
  </si>
  <si>
    <t>쿨타임 중인 스킬 재입력 상태</t>
  </si>
  <si>
    <t>화면 상단의 메시지 영역을 확인한다.</t>
  </si>
  <si>
    <t>아직 재사용 대기 시간이...' 메시지가 출력된다.</t>
  </si>
  <si>
    <t>PC 플랫폼 조작 모드 상태</t>
  </si>
  <si>
    <t>각 스킬 아이콘 하단을 확인한다.</t>
  </si>
  <si>
    <t>Q, E, R, T 단축키 가이드 텍스트가 노출된다.</t>
  </si>
  <si>
    <t>속성 스킬 장착 상태</t>
  </si>
  <si>
    <t>스킬 아이콘 우측 하단을 확인한다.</t>
  </si>
  <si>
    <t>해당 스킬의 속성 마크가 아이콘 옆에 노출된다.</t>
  </si>
  <si>
    <t>특정 스킬 사용 후 연계기 활성 상태</t>
  </si>
  <si>
    <t>스킬 아이콘 테두리의 연출을 확인한다.</t>
  </si>
  <si>
    <t>연계 가능한 스킬 아이콘 테두리가 빛나며 회전한다.</t>
  </si>
  <si>
    <t>마력(MP) 부족 상태</t>
  </si>
  <si>
    <t>마력이 부족한 상태에서 스킬 아이콘을 확인한다.</t>
  </si>
  <si>
    <t>해당 스킬 아이콘이 파란색으로 어둡게 처리된다.</t>
  </si>
  <si>
    <t>환경 UI</t>
  </si>
  <si>
    <t>퀘스트 정보</t>
  </si>
  <si>
    <t>메인 퀘스트 수락 상태</t>
  </si>
  <si>
    <t>화면 좌측 상단의 텍스트 영역을 확인한다.</t>
  </si>
  <si>
    <t>다툼의 원인' 제목이 노란색으로 노출된다.</t>
  </si>
  <si>
    <t>퀘스트 진행 중인 상태</t>
  </si>
  <si>
    <t>퀘스트 제목 하단의 문구를 확인한다.</t>
  </si>
  <si>
    <t>드레퓌스와 대화하기' 목표 문구가 노출된다.</t>
  </si>
  <si>
    <t>키보드 X 키 입력 가능 상태</t>
  </si>
  <si>
    <t>키보드의 X 키를 1회 입력한다.</t>
  </si>
  <si>
    <t>캐릭터가 목표 지점을 향해 자동 이동을 시작한다.</t>
  </si>
  <si>
    <t>NPC 정보</t>
  </si>
  <si>
    <t>퀘스트 목표 NPC 근처 상태</t>
  </si>
  <si>
    <t>NPC 머리 위 영역을 확인한다.</t>
  </si>
  <si>
    <t>물음표(?) 모양의 퀘스트 마커가 노출된다.</t>
  </si>
  <si>
    <t>NPC 인식 거리 내 진입 상태</t>
  </si>
  <si>
    <t>NPC 머리 위 텍스트 영역을 확인한다.</t>
  </si>
  <si>
    <t>드레퓌스' 이름 텍스트가 정상 노출된다.</t>
  </si>
  <si>
    <t>상호작용</t>
  </si>
  <si>
    <t>NPC와 상호작용 가능한 거리 밀착 상태</t>
  </si>
  <si>
    <t>화면 중앙의 가이드 UI를 확인한다.</t>
  </si>
  <si>
    <t>대화하기 위한 단축키 가이드가 화면에 노출된다.</t>
  </si>
  <si>
    <t>알림</t>
  </si>
  <si>
    <t>새로운 알림 발생 상태</t>
  </si>
  <si>
    <t>화면 우측 상단의 종 아이콘을 확인한다.</t>
  </si>
  <si>
    <t>종 아이콘에 빨간색 점 알림 표시가 나타난다.</t>
  </si>
  <si>
    <t>나침반</t>
  </si>
  <si>
    <t>캐릭터 이동 중인 상태</t>
  </si>
  <si>
    <t>미니맵 테두리의 방위 표시를 관찰한다.</t>
  </si>
  <si>
    <t>방위 표시가 캐릭터 이동 방향에 맞춰 실시간 회전한다.</t>
  </si>
  <si>
    <t>채팅 로그</t>
  </si>
  <si>
    <t>메시지 수신 상태</t>
  </si>
  <si>
    <t>화면 좌측 하단의 채팅 영역을 확인한다.</t>
  </si>
  <si>
    <t>채팅 내용이 리스트 형식으로 실시간 출력된다.</t>
  </si>
  <si>
    <t>지역 정보</t>
  </si>
  <si>
    <t>새로운 지역 경계 진입 상태</t>
  </si>
  <si>
    <t>화면 중앙의 텍스트 연출을 확인한다.</t>
  </si>
  <si>
    <t>현재 진입한 지역 명칭이 큰 텍스트로 노출된다.</t>
  </si>
  <si>
    <t>로딩</t>
  </si>
  <si>
    <t>맵 이동 및 지역 전환 상태</t>
  </si>
  <si>
    <t>화면 전체의 변화를 관찰한다.</t>
  </si>
  <si>
    <t>전용 일러스트와 함께 로딩 게이지가 정상 작동한다.</t>
  </si>
  <si>
    <t>시스템 시간</t>
  </si>
  <si>
    <t>서버 접속 및 필드 대기 상태</t>
  </si>
  <si>
    <t>미니맵 상단의 시간 표시를 확인한다.</t>
  </si>
  <si>
    <t>실제 시간 또는 게임 시간이 오차 없이 표시된다.</t>
  </si>
  <si>
    <t>메뉴 닫기</t>
  </si>
  <si>
    <t>메뉴 UI 활성화 상태</t>
  </si>
  <si>
    <t>키보드의 ESC 키를 다시 1회 입력한다.</t>
  </si>
  <si>
    <t>열려있던 메뉴창이 즉시 닫히고 전투 화면으로 복귀된다.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</si>
</sst>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6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theme="1"/>
      <name val="Arial"/>
      <scheme val="minor"/>
    </font>
    <font>
      <b/>
      <sz val="11.0"/>
      <color rgb="FFFFFFFF"/>
      <name val="&quot;맑은 고딕&quot;"/>
    </font>
    <font>
      <b/>
      <sz val="11.0"/>
      <color rgb="FF000000"/>
      <name val="&quot;맑은 고딕&quot;"/>
    </font>
    <font>
      <sz val="11.0"/>
      <color theme="1"/>
      <name val="&quot;맑은 고딕&quot;"/>
    </font>
    <font>
      <b/>
      <sz val="11.0"/>
      <color theme="1"/>
      <name val="&quot;맑은 고딕&quot;"/>
    </font>
    <font/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D4D4D4"/>
      <name val="Arial"/>
    </font>
    <font>
      <sz val="11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shrinkToFit="0" wrapText="0"/>
    </xf>
    <xf borderId="0" fillId="0" fontId="2" numFmtId="0" xfId="0" applyFont="1"/>
    <xf borderId="0" fillId="3" fontId="3" numFmtId="0" xfId="0" applyAlignment="1" applyFill="1" applyFont="1">
      <alignment horizontal="left" readingOrder="0" shrinkToFit="0" wrapText="0"/>
    </xf>
    <xf borderId="0" fillId="2" fontId="3" numFmtId="0" xfId="0" applyAlignment="1" applyFont="1">
      <alignment horizontal="center" shrinkToFit="0" wrapText="0"/>
    </xf>
    <xf borderId="0" fillId="4" fontId="4" numFmtId="0" xfId="0" applyAlignment="1" applyFill="1" applyFont="1">
      <alignment horizontal="left" readingOrder="0" shrinkToFit="0" wrapText="0"/>
    </xf>
    <xf borderId="0" fillId="2" fontId="4" numFmtId="0" xfId="0" applyAlignment="1" applyFont="1">
      <alignment horizontal="left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2" fontId="5" numFmtId="0" xfId="0" applyAlignment="1" applyFont="1">
      <alignment shrinkToFit="0" wrapText="0"/>
    </xf>
    <xf borderId="1" fillId="0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/>
    </xf>
    <xf borderId="0" fillId="2" fontId="5" numFmtId="0" xfId="0" applyAlignment="1" applyFont="1">
      <alignment horizontal="center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4" fillId="3" fontId="3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readingOrder="0" shrinkToFit="0" vertical="center" wrapText="0"/>
    </xf>
    <xf borderId="6" fillId="0" fontId="7" numFmtId="0" xfId="0" applyBorder="1" applyFont="1"/>
    <xf borderId="0" fillId="2" fontId="5" numFmtId="0" xfId="0" applyAlignment="1" applyFont="1">
      <alignment horizontal="left"/>
    </xf>
    <xf borderId="7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left" shrinkToFit="0" wrapText="0"/>
    </xf>
    <xf borderId="2" fillId="0" fontId="7" numFmtId="0" xfId="0" applyBorder="1" applyFont="1"/>
    <xf borderId="3" fillId="0" fontId="7" numFmtId="0" xfId="0" applyBorder="1" applyFont="1"/>
    <xf borderId="8" fillId="0" fontId="1" numFmtId="0" xfId="0" applyAlignment="1" applyBorder="1" applyFont="1">
      <alignment horizontal="center" readingOrder="0" shrinkToFit="0" wrapText="0"/>
    </xf>
    <xf borderId="9" fillId="0" fontId="1" numFmtId="0" xfId="0" applyAlignment="1" applyBorder="1" applyFont="1">
      <alignment horizontal="center" readingOrder="0" shrinkToFit="0" wrapText="0"/>
    </xf>
    <xf borderId="0" fillId="2" fontId="5" numFmtId="0" xfId="0" applyAlignment="1" applyFont="1">
      <alignment horizontal="center" readingOrder="0"/>
    </xf>
    <xf borderId="0" fillId="2" fontId="5" numFmtId="0" xfId="0" applyFont="1"/>
    <xf borderId="0" fillId="2" fontId="6" numFmtId="0" xfId="0" applyAlignment="1" applyFont="1">
      <alignment horizontal="left" shrinkToFit="0" wrapText="0"/>
    </xf>
    <xf borderId="0" fillId="2" fontId="1" numFmtId="0" xfId="0" applyAlignment="1" applyFont="1">
      <alignment horizontal="left" shrinkToFit="0" wrapText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1" numFmtId="0" xfId="0" applyAlignment="1" applyFont="1">
      <alignment horizontal="left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vertical="top"/>
    </xf>
    <xf borderId="0" fillId="0" fontId="1" numFmtId="0" xfId="0" applyAlignment="1" applyFont="1">
      <alignment horizontal="left" readingOrder="0" shrinkToFit="0" wrapText="0"/>
    </xf>
    <xf borderId="10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11" fillId="5" fontId="10" numFmtId="0" xfId="0" applyAlignment="1" applyBorder="1" applyFill="1" applyFont="1">
      <alignment horizontal="center" readingOrder="0"/>
    </xf>
    <xf borderId="12" fillId="5" fontId="10" numFmtId="0" xfId="0" applyAlignment="1" applyBorder="1" applyFont="1">
      <alignment horizontal="center" readingOrder="0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readingOrder="0"/>
    </xf>
    <xf borderId="0" fillId="0" fontId="14" numFmtId="0" xfId="0" applyFont="1"/>
    <xf borderId="2" fillId="0" fontId="10" numFmtId="0" xfId="0" applyAlignment="1" applyBorder="1" applyFont="1">
      <alignment horizontal="center" readingOrder="0" shrinkToFit="0" wrapText="0"/>
    </xf>
    <xf borderId="2" fillId="5" fontId="10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horizontal="center" readingOrder="0"/>
    </xf>
    <xf borderId="11" fillId="0" fontId="11" numFmtId="10" xfId="0" applyAlignment="1" applyBorder="1" applyFont="1" applyNumberFormat="1">
      <alignment horizontal="center" readingOrder="0"/>
    </xf>
    <xf borderId="12" fillId="0" fontId="14" numFmtId="0" xfId="0" applyAlignment="1" applyBorder="1" applyFont="1">
      <alignment horizontal="left" readingOrder="0" vertical="center"/>
    </xf>
    <xf borderId="13" fillId="0" fontId="7" numFmtId="0" xfId="0" applyBorder="1" applyFont="1"/>
    <xf borderId="11" fillId="0" fontId="14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readingOrder="0"/>
    </xf>
    <xf borderId="0" fillId="5" fontId="10" numFmtId="0" xfId="0" applyAlignment="1" applyFont="1">
      <alignment horizontal="center" readingOrder="0"/>
    </xf>
    <xf borderId="11" fillId="5" fontId="3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readingOrder="0"/>
    </xf>
    <xf borderId="11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readingOrder="0"/>
    </xf>
    <xf borderId="11" fillId="0" fontId="14" numFmtId="0" xfId="0" applyAlignment="1" applyBorder="1" applyFont="1">
      <alignment readingOrder="0"/>
    </xf>
    <xf borderId="11" fillId="0" fontId="14" numFmtId="0" xfId="0" applyBorder="1" applyFont="1"/>
    <xf borderId="11" fillId="0" fontId="14" numFmtId="164" xfId="0" applyBorder="1" applyFont="1" applyNumberFormat="1"/>
    <xf quotePrefix="1" borderId="11" fillId="0" fontId="12" numFmtId="0" xfId="0" applyAlignment="1" applyBorder="1" applyFont="1">
      <alignment readingOrder="0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7" max="7" width="37.88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0</v>
      </c>
      <c r="H2" s="5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1"/>
      <c r="H3" s="2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6" t="s">
        <v>1</v>
      </c>
      <c r="H4" s="7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9" t="s">
        <v>2</v>
      </c>
      <c r="C5" s="8"/>
      <c r="D5" s="8"/>
      <c r="E5" s="8"/>
      <c r="F5" s="8"/>
      <c r="G5" s="8"/>
      <c r="H5" s="10"/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11"/>
      <c r="C6" s="12"/>
      <c r="D6" s="12"/>
      <c r="E6" s="12"/>
      <c r="F6" s="12"/>
      <c r="G6" s="13"/>
      <c r="H6" s="14"/>
      <c r="I6" s="8"/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15" t="s">
        <v>3</v>
      </c>
      <c r="C7" s="8"/>
      <c r="D7" s="8"/>
      <c r="E7" s="8"/>
      <c r="F7" s="8"/>
      <c r="G7" s="8"/>
      <c r="H7" s="14"/>
      <c r="I7" s="8"/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9" t="s">
        <v>4</v>
      </c>
      <c r="C8" s="8"/>
      <c r="D8" s="8"/>
      <c r="E8" s="8"/>
      <c r="F8" s="8"/>
      <c r="G8" s="8"/>
      <c r="H8" s="14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9" t="s">
        <v>5</v>
      </c>
      <c r="C9" s="8"/>
      <c r="D9" s="8"/>
      <c r="E9" s="8"/>
      <c r="F9" s="8"/>
      <c r="G9" s="8"/>
      <c r="H9" s="14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9" t="s">
        <v>6</v>
      </c>
      <c r="C10" s="8"/>
      <c r="D10" s="8"/>
      <c r="E10" s="8"/>
      <c r="F10" s="8"/>
      <c r="G10" s="8"/>
      <c r="H10" s="14"/>
      <c r="I10" s="8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9" t="s">
        <v>7</v>
      </c>
      <c r="C11" s="8"/>
      <c r="D11" s="8"/>
      <c r="E11" s="8"/>
      <c r="F11" s="8"/>
      <c r="G11" s="8"/>
      <c r="H11" s="14"/>
      <c r="I11" s="8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9" t="s">
        <v>8</v>
      </c>
      <c r="C12" s="8"/>
      <c r="D12" s="8"/>
      <c r="E12" s="8"/>
      <c r="F12" s="8"/>
      <c r="G12" s="8"/>
      <c r="H12" s="14"/>
      <c r="I12" s="8"/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/>
      <c r="B13" s="8"/>
      <c r="C13" s="8"/>
      <c r="D13" s="8"/>
      <c r="E13" s="8"/>
      <c r="F13" s="8"/>
      <c r="G13" s="8"/>
      <c r="H13" s="14"/>
      <c r="I13" s="8"/>
      <c r="J13" s="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/>
      <c r="B14" s="15" t="s">
        <v>9</v>
      </c>
      <c r="C14" s="8"/>
      <c r="D14" s="8"/>
      <c r="E14" s="8"/>
      <c r="F14" s="8"/>
      <c r="G14" s="8"/>
      <c r="H14" s="14"/>
      <c r="I14" s="8"/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/>
      <c r="B15" s="9" t="s">
        <v>10</v>
      </c>
      <c r="C15" s="8"/>
      <c r="D15" s="8"/>
      <c r="E15" s="8"/>
      <c r="F15" s="8"/>
      <c r="G15" s="8"/>
      <c r="H15" s="14"/>
      <c r="I15" s="8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/>
      <c r="B16" s="9" t="s">
        <v>11</v>
      </c>
      <c r="C16" s="8"/>
      <c r="D16" s="8"/>
      <c r="E16" s="8"/>
      <c r="F16" s="8"/>
      <c r="G16" s="8"/>
      <c r="H16" s="14"/>
      <c r="I16" s="8"/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/>
      <c r="B17" s="9" t="s">
        <v>12</v>
      </c>
      <c r="C17" s="8"/>
      <c r="D17" s="8"/>
      <c r="E17" s="8"/>
      <c r="F17" s="8"/>
      <c r="G17" s="8"/>
      <c r="H17" s="14"/>
      <c r="I17" s="8"/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/>
      <c r="B18" s="8"/>
      <c r="C18" s="8"/>
      <c r="D18" s="8"/>
      <c r="E18" s="8"/>
      <c r="F18" s="8"/>
      <c r="G18" s="8"/>
      <c r="H18" s="14"/>
      <c r="I18" s="8"/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15" t="s">
        <v>13</v>
      </c>
      <c r="C19" s="8"/>
      <c r="D19" s="8"/>
      <c r="E19" s="8"/>
      <c r="F19" s="8"/>
      <c r="G19" s="8"/>
      <c r="H19" s="14"/>
      <c r="I19" s="8"/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9" t="s">
        <v>14</v>
      </c>
      <c r="C20" s="8"/>
      <c r="D20" s="8"/>
      <c r="E20" s="8"/>
      <c r="F20" s="8"/>
      <c r="G20" s="8"/>
      <c r="H20" s="14"/>
      <c r="I20" s="8"/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/>
      <c r="B21" s="9" t="s">
        <v>15</v>
      </c>
      <c r="C21" s="8"/>
      <c r="D21" s="8"/>
      <c r="E21" s="8"/>
      <c r="F21" s="8"/>
      <c r="G21" s="8"/>
      <c r="H21" s="14"/>
      <c r="I21" s="8"/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B22" s="9" t="s">
        <v>16</v>
      </c>
      <c r="C22" s="8"/>
      <c r="D22" s="8"/>
      <c r="E22" s="8"/>
      <c r="F22" s="8"/>
      <c r="G22" s="8"/>
      <c r="H22" s="14"/>
      <c r="I22" s="8"/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8"/>
      <c r="C23" s="8"/>
      <c r="D23" s="8"/>
      <c r="E23" s="8"/>
      <c r="F23" s="8"/>
      <c r="G23" s="8"/>
      <c r="H23" s="14"/>
      <c r="I23" s="8"/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/>
      <c r="B24" s="15" t="s">
        <v>17</v>
      </c>
      <c r="C24" s="8"/>
      <c r="D24" s="8"/>
      <c r="E24" s="8"/>
      <c r="F24" s="8"/>
      <c r="G24" s="8"/>
      <c r="H24" s="14"/>
      <c r="I24" s="8"/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/>
      <c r="B25" s="9" t="s">
        <v>18</v>
      </c>
      <c r="C25" s="8"/>
      <c r="D25" s="8"/>
      <c r="E25" s="8"/>
      <c r="F25" s="8"/>
      <c r="G25" s="8"/>
      <c r="H25" s="14"/>
      <c r="I25" s="8"/>
      <c r="J25" s="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/>
      <c r="B26" s="9" t="s">
        <v>19</v>
      </c>
      <c r="C26" s="8"/>
      <c r="D26" s="8"/>
      <c r="E26" s="8"/>
      <c r="F26" s="8"/>
      <c r="G26" s="8"/>
      <c r="H26" s="14"/>
      <c r="I26" s="8"/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/>
      <c r="B27" s="9" t="s">
        <v>20</v>
      </c>
      <c r="C27" s="8"/>
      <c r="D27" s="8"/>
      <c r="E27" s="8"/>
      <c r="F27" s="8"/>
      <c r="G27" s="8"/>
      <c r="H27" s="14"/>
      <c r="I27" s="8"/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/>
      <c r="B28" s="8"/>
      <c r="C28" s="8"/>
      <c r="D28" s="8"/>
      <c r="E28" s="8"/>
      <c r="F28" s="8"/>
      <c r="G28" s="8"/>
      <c r="H28" s="14"/>
      <c r="I28" s="8"/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  <c r="B29" s="9" t="s">
        <v>21</v>
      </c>
      <c r="C29" s="8"/>
      <c r="D29" s="8"/>
      <c r="E29" s="8"/>
      <c r="F29" s="8"/>
      <c r="G29" s="8"/>
      <c r="H29" s="14"/>
      <c r="I29" s="8"/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9" t="s">
        <v>22</v>
      </c>
      <c r="C30" s="8"/>
      <c r="D30" s="8"/>
      <c r="E30" s="8"/>
      <c r="F30" s="8"/>
      <c r="G30" s="8"/>
      <c r="H30" s="14"/>
      <c r="I30" s="8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9" t="s">
        <v>23</v>
      </c>
      <c r="C31" s="8"/>
      <c r="D31" s="8"/>
      <c r="E31" s="8"/>
      <c r="F31" s="8"/>
      <c r="G31" s="8"/>
      <c r="H31" s="14"/>
      <c r="I31" s="8"/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B32" s="9" t="s">
        <v>24</v>
      </c>
      <c r="C32" s="8"/>
      <c r="D32" s="8"/>
      <c r="E32" s="8"/>
      <c r="F32" s="8"/>
      <c r="G32" s="8"/>
      <c r="H32" s="14"/>
      <c r="I32" s="8"/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/>
      <c r="B33" s="8"/>
      <c r="C33" s="8"/>
      <c r="D33" s="8"/>
      <c r="E33" s="8"/>
      <c r="F33" s="8"/>
      <c r="G33" s="8"/>
      <c r="H33" s="14"/>
      <c r="I33" s="8"/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/>
      <c r="B34" s="6" t="s">
        <v>25</v>
      </c>
      <c r="H34" s="14"/>
      <c r="I34" s="8"/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16"/>
      <c r="E35" s="1"/>
      <c r="F35" s="1"/>
      <c r="G35" s="1"/>
      <c r="H35" s="14"/>
      <c r="I35" s="8"/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17" t="s">
        <v>26</v>
      </c>
      <c r="C36" s="18" t="s">
        <v>27</v>
      </c>
      <c r="D36" s="19" t="s">
        <v>28</v>
      </c>
      <c r="E36" s="20"/>
      <c r="F36" s="20"/>
      <c r="G36" s="20"/>
      <c r="H36" s="21"/>
      <c r="I36" s="8"/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/>
      <c r="B37" s="22" t="s">
        <v>29</v>
      </c>
      <c r="C37" s="23" t="s">
        <v>30</v>
      </c>
      <c r="D37" s="24"/>
      <c r="E37" s="25"/>
      <c r="F37" s="25"/>
      <c r="G37" s="26"/>
      <c r="H37" s="21"/>
      <c r="I37" s="8"/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/>
      <c r="B38" s="27" t="s">
        <v>31</v>
      </c>
      <c r="C38" s="28" t="s">
        <v>32</v>
      </c>
      <c r="D38" s="24"/>
      <c r="E38" s="25"/>
      <c r="F38" s="25"/>
      <c r="G38" s="26"/>
      <c r="H38" s="21"/>
      <c r="I38" s="8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/>
      <c r="B39" s="29" t="s">
        <v>33</v>
      </c>
      <c r="C39" s="29" t="s">
        <v>34</v>
      </c>
      <c r="D39" s="30"/>
      <c r="H39" s="10"/>
      <c r="I39" s="8"/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1"/>
      <c r="C40" s="1"/>
      <c r="D40" s="1"/>
      <c r="E40" s="1"/>
      <c r="F40" s="1"/>
      <c r="G40" s="1"/>
      <c r="H40" s="31"/>
      <c r="I40" s="8"/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6" t="s">
        <v>35</v>
      </c>
      <c r="H41" s="32"/>
      <c r="I41" s="8"/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B42" s="33"/>
      <c r="C42" s="8"/>
      <c r="D42" s="8"/>
      <c r="E42" s="8"/>
      <c r="F42" s="8"/>
      <c r="G42" s="8"/>
      <c r="H42" s="10"/>
      <c r="I42" s="8"/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34" t="s">
        <v>36</v>
      </c>
      <c r="C43" s="8"/>
      <c r="D43" s="8"/>
      <c r="E43" s="8"/>
      <c r="F43" s="8"/>
      <c r="G43" s="8"/>
      <c r="H43" s="10"/>
      <c r="I43" s="8"/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33" t="s">
        <v>37</v>
      </c>
      <c r="C44" s="8"/>
      <c r="D44" s="8"/>
      <c r="E44" s="8"/>
      <c r="F44" s="8"/>
      <c r="G44" s="8"/>
      <c r="H44" s="7"/>
      <c r="I44" s="1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33" t="s">
        <v>38</v>
      </c>
      <c r="C45" s="8"/>
      <c r="D45" s="8"/>
      <c r="E45" s="8"/>
      <c r="F45" s="8"/>
      <c r="G45" s="8"/>
      <c r="H45" s="32"/>
      <c r="I45" s="8"/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/>
      <c r="B46" s="33" t="s">
        <v>39</v>
      </c>
      <c r="C46" s="8"/>
      <c r="D46" s="8"/>
      <c r="E46" s="8"/>
      <c r="F46" s="8"/>
      <c r="G46" s="8"/>
      <c r="H46" s="5"/>
      <c r="I46" s="8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/>
      <c r="B47" s="3"/>
      <c r="C47" s="8"/>
      <c r="D47" s="8"/>
      <c r="E47" s="8"/>
      <c r="F47" s="8"/>
      <c r="G47" s="8"/>
      <c r="H47" s="32"/>
      <c r="I47" s="8"/>
      <c r="J47" s="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15" t="s">
        <v>40</v>
      </c>
      <c r="C48" s="8"/>
      <c r="D48" s="8"/>
      <c r="E48" s="8"/>
      <c r="F48" s="8"/>
      <c r="G48" s="8"/>
      <c r="H48" s="35"/>
      <c r="I48" s="8"/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/>
      <c r="B49" s="9" t="s">
        <v>41</v>
      </c>
      <c r="C49" s="8"/>
      <c r="D49" s="8"/>
      <c r="E49" s="8"/>
      <c r="F49" s="8"/>
      <c r="G49" s="8"/>
      <c r="H49" s="35"/>
      <c r="I49" s="8"/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9" t="s">
        <v>42</v>
      </c>
      <c r="C50" s="8"/>
      <c r="D50" s="8"/>
      <c r="E50" s="8"/>
      <c r="F50" s="8"/>
      <c r="G50" s="8"/>
      <c r="H50" s="35"/>
      <c r="I50" s="8"/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9" t="s">
        <v>43</v>
      </c>
      <c r="C51" s="8"/>
      <c r="D51" s="8"/>
      <c r="E51" s="8"/>
      <c r="F51" s="8"/>
      <c r="G51" s="8"/>
      <c r="H51" s="35"/>
      <c r="I51" s="8"/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8"/>
      <c r="C52" s="8"/>
      <c r="D52" s="8"/>
      <c r="E52" s="8"/>
      <c r="F52" s="8"/>
      <c r="G52" s="8"/>
      <c r="H52" s="35"/>
      <c r="I52" s="8"/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15" t="s">
        <v>44</v>
      </c>
      <c r="C53" s="8"/>
      <c r="D53" s="8"/>
      <c r="E53" s="8"/>
      <c r="F53" s="8"/>
      <c r="G53" s="8"/>
      <c r="H53" s="35"/>
      <c r="I53" s="8"/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9" t="s">
        <v>45</v>
      </c>
      <c r="C54" s="8"/>
      <c r="D54" s="8"/>
      <c r="E54" s="8"/>
      <c r="F54" s="8"/>
      <c r="G54" s="8"/>
      <c r="H54" s="35"/>
      <c r="I54" s="8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/>
      <c r="B55" s="9" t="s">
        <v>46</v>
      </c>
      <c r="C55" s="8"/>
      <c r="D55" s="8"/>
      <c r="E55" s="8"/>
      <c r="F55" s="8"/>
      <c r="G55" s="8"/>
      <c r="H55" s="35"/>
      <c r="I55" s="8"/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8"/>
      <c r="C56" s="8"/>
      <c r="D56" s="8"/>
      <c r="E56" s="8"/>
      <c r="F56" s="8"/>
      <c r="G56" s="8"/>
      <c r="H56" s="35"/>
      <c r="I56" s="8"/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/>
      <c r="B57" s="6" t="s">
        <v>47</v>
      </c>
      <c r="C57" s="6"/>
      <c r="D57" s="6"/>
      <c r="E57" s="6"/>
      <c r="F57" s="6"/>
      <c r="G57" s="6"/>
      <c r="H57" s="32"/>
      <c r="I57" s="8"/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/>
      <c r="B58" s="36" t="s">
        <v>48</v>
      </c>
      <c r="C58" s="37"/>
      <c r="D58" s="37"/>
      <c r="E58" s="37"/>
      <c r="F58" s="37"/>
      <c r="G58" s="37"/>
      <c r="H58" s="10"/>
      <c r="I58" s="8"/>
      <c r="J58" s="8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36" t="s">
        <v>49</v>
      </c>
      <c r="C59" s="3"/>
      <c r="D59" s="3"/>
      <c r="E59" s="3"/>
      <c r="F59" s="3"/>
      <c r="G59" s="3"/>
      <c r="H59" s="7"/>
      <c r="I59" s="1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36" t="s">
        <v>50</v>
      </c>
      <c r="C60" s="3"/>
      <c r="D60" s="3"/>
      <c r="E60" s="3"/>
      <c r="F60" s="3"/>
      <c r="G60" s="3"/>
      <c r="H60" s="10"/>
      <c r="I60" s="8"/>
      <c r="J60" s="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33" t="s">
        <v>51</v>
      </c>
      <c r="C61" s="3"/>
      <c r="D61" s="3"/>
      <c r="E61" s="3"/>
      <c r="F61" s="3"/>
      <c r="G61" s="3"/>
      <c r="H61" s="38"/>
      <c r="I61" s="8"/>
      <c r="J61" s="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33" t="s">
        <v>52</v>
      </c>
      <c r="C62" s="3"/>
      <c r="D62" s="3"/>
      <c r="E62" s="3"/>
      <c r="F62" s="3"/>
      <c r="G62" s="3"/>
      <c r="H62" s="10"/>
      <c r="I62" s="8"/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3"/>
      <c r="C63" s="3"/>
      <c r="D63" s="3"/>
      <c r="E63" s="3"/>
      <c r="F63" s="3"/>
      <c r="G63" s="3"/>
      <c r="H63" s="7"/>
      <c r="I63" s="8"/>
      <c r="J63" s="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6" t="s">
        <v>53</v>
      </c>
      <c r="H64" s="2"/>
      <c r="I64" s="8"/>
      <c r="J64" s="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39" t="s">
        <v>54</v>
      </c>
      <c r="C65" s="3"/>
      <c r="D65" s="3"/>
      <c r="E65" s="3"/>
      <c r="F65" s="3"/>
      <c r="G65" s="3"/>
      <c r="H65" s="5"/>
      <c r="I65" s="8"/>
      <c r="J65" s="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33" t="s">
        <v>55</v>
      </c>
      <c r="C66" s="3"/>
      <c r="D66" s="3"/>
      <c r="E66" s="3"/>
      <c r="F66" s="3"/>
      <c r="G66" s="3"/>
      <c r="H66" s="32"/>
      <c r="I66" s="8"/>
      <c r="J66" s="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33" t="s">
        <v>56</v>
      </c>
      <c r="C67" s="3"/>
      <c r="D67" s="3"/>
      <c r="E67" s="3"/>
      <c r="F67" s="3"/>
      <c r="G67" s="3"/>
      <c r="H67" s="32"/>
      <c r="I67" s="8"/>
      <c r="J67" s="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9" t="s">
        <v>57</v>
      </c>
      <c r="C68" s="3"/>
      <c r="D68" s="3"/>
      <c r="E68" s="3"/>
      <c r="F68" s="3"/>
      <c r="G68" s="3"/>
      <c r="H68" s="30"/>
      <c r="I68" s="8"/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9" t="s">
        <v>58</v>
      </c>
      <c r="C69" s="3"/>
      <c r="D69" s="3"/>
      <c r="E69" s="3"/>
      <c r="F69" s="3"/>
      <c r="G69" s="3"/>
      <c r="H69" s="2"/>
      <c r="I69" s="8"/>
      <c r="J69" s="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3"/>
      <c r="C70" s="3"/>
      <c r="D70" s="3"/>
      <c r="E70" s="3"/>
      <c r="F70" s="3"/>
      <c r="G70" s="3"/>
      <c r="H70" s="10"/>
      <c r="I70" s="8"/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3"/>
      <c r="C71" s="3"/>
      <c r="D71" s="3"/>
      <c r="E71" s="3"/>
      <c r="F71" s="3"/>
      <c r="G71" s="3"/>
      <c r="H71" s="10"/>
      <c r="I71" s="8"/>
      <c r="J71" s="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3"/>
      <c r="C72" s="3"/>
      <c r="D72" s="3"/>
      <c r="E72" s="3"/>
      <c r="F72" s="3"/>
      <c r="G72" s="3"/>
      <c r="H72" s="10"/>
      <c r="I72" s="8"/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3"/>
      <c r="C73" s="3"/>
      <c r="D73" s="3"/>
      <c r="E73" s="3"/>
      <c r="F73" s="3"/>
      <c r="G73" s="3"/>
      <c r="H73" s="10"/>
      <c r="I73" s="8"/>
      <c r="J73" s="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3"/>
      <c r="C74" s="3"/>
      <c r="D74" s="3"/>
      <c r="E74" s="3"/>
      <c r="F74" s="3"/>
      <c r="G74" s="3"/>
      <c r="H74" s="10"/>
      <c r="I74" s="8"/>
      <c r="J74" s="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3"/>
      <c r="C75" s="3"/>
      <c r="D75" s="3"/>
      <c r="E75" s="3"/>
      <c r="F75" s="3"/>
      <c r="G75" s="3"/>
      <c r="H75" s="10"/>
      <c r="I75" s="8"/>
      <c r="J75" s="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3"/>
      <c r="C76" s="3"/>
      <c r="D76" s="3"/>
      <c r="E76" s="3"/>
      <c r="F76" s="3"/>
      <c r="G76" s="3"/>
      <c r="H76" s="10"/>
      <c r="I76" s="8"/>
      <c r="J76" s="8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3"/>
      <c r="C77" s="3"/>
      <c r="D77" s="3"/>
      <c r="E77" s="3"/>
      <c r="F77" s="3"/>
      <c r="G77" s="3"/>
      <c r="H77" s="10"/>
      <c r="I77" s="8"/>
      <c r="J77" s="8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8"/>
      <c r="C78" s="8"/>
      <c r="D78" s="8"/>
      <c r="E78" s="8"/>
      <c r="F78" s="8"/>
      <c r="G78" s="8"/>
      <c r="H78" s="10"/>
      <c r="I78" s="8"/>
      <c r="J78" s="8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8"/>
      <c r="C79" s="8"/>
      <c r="D79" s="8"/>
      <c r="E79" s="8"/>
      <c r="F79" s="8"/>
      <c r="G79" s="8"/>
      <c r="H79" s="10"/>
      <c r="I79" s="8"/>
      <c r="J79" s="8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8"/>
      <c r="C80" s="8"/>
      <c r="D80" s="8"/>
      <c r="E80" s="8"/>
      <c r="F80" s="8"/>
      <c r="G80" s="8"/>
      <c r="H80" s="10"/>
      <c r="I80" s="8"/>
      <c r="J80" s="8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8"/>
      <c r="C81" s="8"/>
      <c r="D81" s="8"/>
      <c r="E81" s="8"/>
      <c r="F81" s="8"/>
      <c r="G81" s="8"/>
      <c r="H81" s="10"/>
      <c r="I81" s="8"/>
      <c r="J81" s="8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8"/>
      <c r="C82" s="8"/>
      <c r="D82" s="8"/>
      <c r="E82" s="8"/>
      <c r="F82" s="8"/>
      <c r="G82" s="8"/>
      <c r="H82" s="10"/>
      <c r="I82" s="8"/>
      <c r="J82" s="8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8"/>
      <c r="C83" s="8"/>
      <c r="D83" s="8"/>
      <c r="E83" s="8"/>
      <c r="F83" s="8"/>
      <c r="G83" s="8"/>
      <c r="H83" s="10"/>
      <c r="I83" s="8"/>
      <c r="J83" s="8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8"/>
      <c r="C84" s="8"/>
      <c r="D84" s="8"/>
      <c r="E84" s="8"/>
      <c r="F84" s="8"/>
      <c r="G84" s="8"/>
      <c r="H84" s="10"/>
      <c r="I84" s="8"/>
      <c r="J84" s="8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8"/>
      <c r="C85" s="8"/>
      <c r="D85" s="8"/>
      <c r="E85" s="8"/>
      <c r="F85" s="8"/>
      <c r="G85" s="8"/>
      <c r="H85" s="10"/>
      <c r="I85" s="8"/>
      <c r="J85" s="8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8"/>
      <c r="C86" s="8"/>
      <c r="D86" s="8"/>
      <c r="E86" s="8"/>
      <c r="F86" s="8"/>
      <c r="G86" s="8"/>
      <c r="H86" s="10"/>
      <c r="I86" s="8"/>
      <c r="J86" s="8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8"/>
      <c r="C87" s="8"/>
      <c r="D87" s="8"/>
      <c r="E87" s="8"/>
      <c r="F87" s="8"/>
      <c r="G87" s="8"/>
      <c r="H87" s="10"/>
      <c r="I87" s="8"/>
      <c r="J87" s="8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8"/>
      <c r="C88" s="8"/>
      <c r="D88" s="8"/>
      <c r="E88" s="8"/>
      <c r="F88" s="8"/>
      <c r="G88" s="8"/>
      <c r="H88" s="10"/>
      <c r="I88" s="8"/>
      <c r="J88" s="8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8"/>
      <c r="C89" s="8"/>
      <c r="D89" s="8"/>
      <c r="E89" s="8"/>
      <c r="F89" s="8"/>
      <c r="G89" s="8"/>
      <c r="H89" s="10"/>
      <c r="I89" s="8"/>
      <c r="J89" s="8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8"/>
      <c r="C90" s="8"/>
      <c r="D90" s="8"/>
      <c r="E90" s="8"/>
      <c r="F90" s="8"/>
      <c r="G90" s="8"/>
      <c r="H90" s="10"/>
      <c r="I90" s="8"/>
      <c r="J90" s="8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8"/>
      <c r="C91" s="8"/>
      <c r="D91" s="8"/>
      <c r="E91" s="8"/>
      <c r="F91" s="8"/>
      <c r="G91" s="8"/>
      <c r="H91" s="10"/>
      <c r="I91" s="8"/>
      <c r="J91" s="8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8"/>
      <c r="C92" s="8"/>
      <c r="D92" s="8"/>
      <c r="E92" s="8"/>
      <c r="F92" s="8"/>
      <c r="G92" s="8"/>
      <c r="H92" s="10"/>
      <c r="I92" s="8"/>
      <c r="J92" s="8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8"/>
      <c r="C93" s="8"/>
      <c r="D93" s="8"/>
      <c r="E93" s="8"/>
      <c r="F93" s="8"/>
      <c r="G93" s="8"/>
      <c r="H93" s="10"/>
      <c r="I93" s="8"/>
      <c r="J93" s="8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8"/>
      <c r="C94" s="8"/>
      <c r="D94" s="8"/>
      <c r="E94" s="8"/>
      <c r="F94" s="8"/>
      <c r="G94" s="8"/>
      <c r="H94" s="10"/>
      <c r="I94" s="8"/>
      <c r="J94" s="8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8"/>
      <c r="C95" s="8"/>
      <c r="D95" s="8"/>
      <c r="E95" s="8"/>
      <c r="F95" s="8"/>
      <c r="G95" s="8"/>
      <c r="H95" s="10"/>
      <c r="I95" s="8"/>
      <c r="J95" s="8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8"/>
      <c r="C96" s="8"/>
      <c r="D96" s="8"/>
      <c r="E96" s="8"/>
      <c r="F96" s="8"/>
      <c r="G96" s="8"/>
      <c r="H96" s="10"/>
      <c r="I96" s="8"/>
      <c r="J96" s="8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8"/>
      <c r="C97" s="8"/>
      <c r="D97" s="8"/>
      <c r="E97" s="8"/>
      <c r="F97" s="8"/>
      <c r="G97" s="8"/>
      <c r="H97" s="10"/>
      <c r="I97" s="8"/>
      <c r="J97" s="8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</sheetData>
  <mergeCells count="10">
    <mergeCell ref="D37:G37"/>
    <mergeCell ref="D38:G38"/>
    <mergeCell ref="B2:G2"/>
    <mergeCell ref="B4:G4"/>
    <mergeCell ref="B41:G41"/>
    <mergeCell ref="D39:G39"/>
    <mergeCell ref="B35:D35"/>
    <mergeCell ref="B34:G34"/>
    <mergeCell ref="D36:G36"/>
    <mergeCell ref="B64:G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4.0"/>
    <col customWidth="1" min="2" max="2" width="5.63"/>
    <col customWidth="1" min="3" max="3" width="14.0"/>
    <col customWidth="1" min="4" max="4" width="17.0"/>
    <col customWidth="1" min="5" max="5" width="55.75"/>
    <col customWidth="1" min="6" max="6" width="75.63"/>
    <col customWidth="1" min="7" max="7" width="71.25"/>
  </cols>
  <sheetData>
    <row r="1">
      <c r="A1" s="40"/>
      <c r="B1" s="41"/>
      <c r="C1" s="42"/>
      <c r="D1" s="43" t="s">
        <v>59</v>
      </c>
      <c r="E1" s="43" t="s">
        <v>60</v>
      </c>
      <c r="F1" s="44" t="s">
        <v>61</v>
      </c>
      <c r="G1" s="45"/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/>
      <c r="B2" s="49" t="s">
        <v>62</v>
      </c>
      <c r="C2" s="26"/>
      <c r="D2" s="50">
        <f t="shared" ref="D2:E2" si="1">SUM(D3:D7)</f>
        <v>100</v>
      </c>
      <c r="E2" s="51">
        <f t="shared" si="1"/>
        <v>1</v>
      </c>
      <c r="F2" s="52" t="s">
        <v>63</v>
      </c>
      <c r="G2" s="45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8"/>
      <c r="B3" s="49" t="s">
        <v>64</v>
      </c>
      <c r="C3" s="26"/>
      <c r="D3" s="50">
        <f t="shared" ref="D3:D4" si="2">COUNTIF($H$10:$H$109,"Fail")</f>
        <v>0</v>
      </c>
      <c r="E3" s="51">
        <f t="shared" ref="E3:E7" si="3">D3/$D$2</f>
        <v>0</v>
      </c>
      <c r="F3" s="53"/>
      <c r="G3" s="45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8"/>
      <c r="B4" s="49" t="s">
        <v>65</v>
      </c>
      <c r="C4" s="26"/>
      <c r="D4" s="50">
        <f t="shared" si="2"/>
        <v>0</v>
      </c>
      <c r="E4" s="51">
        <f t="shared" si="3"/>
        <v>0</v>
      </c>
      <c r="F4" s="54" t="s">
        <v>66</v>
      </c>
      <c r="G4" s="45"/>
      <c r="H4" s="4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8"/>
      <c r="B5" s="49" t="s">
        <v>67</v>
      </c>
      <c r="C5" s="26"/>
      <c r="D5" s="50">
        <f>COUNTIF($H$10:$H$109,"Blocked")</f>
        <v>0</v>
      </c>
      <c r="E5" s="51">
        <f t="shared" si="3"/>
        <v>0</v>
      </c>
      <c r="F5" s="54" t="s">
        <v>68</v>
      </c>
      <c r="G5" s="45"/>
      <c r="H5" s="46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55"/>
      <c r="B6" s="49" t="s">
        <v>69</v>
      </c>
      <c r="C6" s="26"/>
      <c r="D6" s="50">
        <f>COUNTIF($H$10:$H$109,"Not Test")</f>
        <v>100</v>
      </c>
      <c r="E6" s="51">
        <f t="shared" si="3"/>
        <v>1</v>
      </c>
      <c r="F6" s="54" t="s">
        <v>70</v>
      </c>
      <c r="G6" s="42"/>
      <c r="H6" s="42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56"/>
      <c r="B7" s="57" t="s">
        <v>71</v>
      </c>
      <c r="D7" s="50">
        <f>COUNTIF($H$10:$H$109,"N/A")</f>
        <v>0</v>
      </c>
      <c r="E7" s="51">
        <f t="shared" si="3"/>
        <v>0</v>
      </c>
      <c r="F7" s="54" t="s">
        <v>72</v>
      </c>
      <c r="G7" s="42"/>
      <c r="H7" s="42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7.5" customHeight="1">
      <c r="A8" s="56"/>
      <c r="B8" s="42"/>
      <c r="C8" s="42"/>
      <c r="D8" s="42"/>
      <c r="E8" s="42"/>
      <c r="F8" s="42"/>
      <c r="G8" s="42"/>
      <c r="H8" s="42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6"/>
      <c r="B9" s="43" t="s">
        <v>73</v>
      </c>
      <c r="C9" s="43" t="s">
        <v>74</v>
      </c>
      <c r="D9" s="43" t="s">
        <v>75</v>
      </c>
      <c r="E9" s="43" t="s">
        <v>76</v>
      </c>
      <c r="F9" s="43" t="s">
        <v>77</v>
      </c>
      <c r="G9" s="43" t="s">
        <v>78</v>
      </c>
      <c r="H9" s="43" t="s">
        <v>79</v>
      </c>
      <c r="I9" s="58" t="s">
        <v>80</v>
      </c>
      <c r="J9" s="58" t="s">
        <v>81</v>
      </c>
      <c r="K9" s="58" t="s">
        <v>82</v>
      </c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9"/>
      <c r="B10" s="60">
        <v>1.0</v>
      </c>
      <c r="C10" s="60" t="s">
        <v>83</v>
      </c>
      <c r="D10" s="60" t="s">
        <v>84</v>
      </c>
      <c r="E10" s="61" t="s">
        <v>85</v>
      </c>
      <c r="F10" s="61" t="s">
        <v>86</v>
      </c>
      <c r="G10" s="61" t="s">
        <v>87</v>
      </c>
      <c r="H10" s="62" t="s">
        <v>88</v>
      </c>
      <c r="I10" s="63"/>
      <c r="J10" s="62"/>
      <c r="K10" s="63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59"/>
      <c r="B11" s="60">
        <v>2.0</v>
      </c>
      <c r="C11" s="60" t="s">
        <v>83</v>
      </c>
      <c r="D11" s="60" t="s">
        <v>84</v>
      </c>
      <c r="E11" s="61" t="s">
        <v>89</v>
      </c>
      <c r="F11" s="61" t="s">
        <v>90</v>
      </c>
      <c r="G11" s="61" t="s">
        <v>91</v>
      </c>
      <c r="H11" s="62" t="s">
        <v>88</v>
      </c>
      <c r="I11" s="63"/>
      <c r="J11" s="64"/>
      <c r="K11" s="63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59"/>
      <c r="B12" s="60">
        <v>3.0</v>
      </c>
      <c r="C12" s="60" t="s">
        <v>83</v>
      </c>
      <c r="D12" s="60" t="s">
        <v>84</v>
      </c>
      <c r="E12" s="61" t="s">
        <v>92</v>
      </c>
      <c r="F12" s="61" t="s">
        <v>93</v>
      </c>
      <c r="G12" s="61" t="s">
        <v>94</v>
      </c>
      <c r="H12" s="62" t="s">
        <v>88</v>
      </c>
      <c r="I12" s="63"/>
      <c r="J12" s="64"/>
      <c r="K12" s="63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9"/>
      <c r="B13" s="60">
        <v>4.0</v>
      </c>
      <c r="C13" s="60" t="s">
        <v>83</v>
      </c>
      <c r="D13" s="60" t="s">
        <v>95</v>
      </c>
      <c r="E13" s="61" t="s">
        <v>96</v>
      </c>
      <c r="F13" s="61" t="s">
        <v>97</v>
      </c>
      <c r="G13" s="65" t="s">
        <v>98</v>
      </c>
      <c r="H13" s="62" t="s">
        <v>88</v>
      </c>
      <c r="I13" s="63"/>
      <c r="J13" s="64"/>
      <c r="K13" s="63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9"/>
      <c r="B14" s="60">
        <v>5.0</v>
      </c>
      <c r="C14" s="60" t="s">
        <v>83</v>
      </c>
      <c r="D14" s="60" t="s">
        <v>95</v>
      </c>
      <c r="E14" s="61" t="s">
        <v>99</v>
      </c>
      <c r="F14" s="61" t="s">
        <v>100</v>
      </c>
      <c r="G14" s="61" t="s">
        <v>101</v>
      </c>
      <c r="H14" s="62" t="s">
        <v>88</v>
      </c>
      <c r="I14" s="63"/>
      <c r="J14" s="64"/>
      <c r="K14" s="63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59"/>
      <c r="B15" s="60">
        <v>6.0</v>
      </c>
      <c r="C15" s="60" t="s">
        <v>83</v>
      </c>
      <c r="D15" s="60" t="s">
        <v>102</v>
      </c>
      <c r="E15" s="61" t="s">
        <v>103</v>
      </c>
      <c r="F15" s="61" t="s">
        <v>104</v>
      </c>
      <c r="G15" s="61" t="s">
        <v>105</v>
      </c>
      <c r="H15" s="62" t="s">
        <v>88</v>
      </c>
      <c r="I15" s="63"/>
      <c r="J15" s="64"/>
      <c r="K15" s="63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59"/>
      <c r="B16" s="60">
        <v>7.0</v>
      </c>
      <c r="C16" s="60" t="s">
        <v>83</v>
      </c>
      <c r="D16" s="60" t="s">
        <v>102</v>
      </c>
      <c r="E16" s="61" t="s">
        <v>106</v>
      </c>
      <c r="F16" s="61" t="s">
        <v>107</v>
      </c>
      <c r="G16" s="61" t="s">
        <v>108</v>
      </c>
      <c r="H16" s="62" t="s">
        <v>88</v>
      </c>
      <c r="I16" s="63"/>
      <c r="J16" s="64"/>
      <c r="K16" s="63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59"/>
      <c r="B17" s="60">
        <v>8.0</v>
      </c>
      <c r="C17" s="60" t="s">
        <v>83</v>
      </c>
      <c r="D17" s="60" t="s">
        <v>102</v>
      </c>
      <c r="E17" s="61" t="s">
        <v>109</v>
      </c>
      <c r="F17" s="61" t="s">
        <v>110</v>
      </c>
      <c r="G17" s="61" t="s">
        <v>111</v>
      </c>
      <c r="H17" s="62" t="s">
        <v>88</v>
      </c>
      <c r="I17" s="63"/>
      <c r="J17" s="64"/>
      <c r="K17" s="63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59"/>
      <c r="B18" s="60">
        <v>9.0</v>
      </c>
      <c r="C18" s="60" t="s">
        <v>83</v>
      </c>
      <c r="D18" s="60" t="s">
        <v>102</v>
      </c>
      <c r="E18" s="61" t="s">
        <v>112</v>
      </c>
      <c r="F18" s="61" t="s">
        <v>113</v>
      </c>
      <c r="G18" s="61" t="s">
        <v>114</v>
      </c>
      <c r="H18" s="62" t="s">
        <v>88</v>
      </c>
      <c r="I18" s="63"/>
      <c r="J18" s="64"/>
      <c r="K18" s="63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59"/>
      <c r="B19" s="60">
        <v>10.0</v>
      </c>
      <c r="C19" s="60" t="s">
        <v>83</v>
      </c>
      <c r="D19" s="60" t="s">
        <v>102</v>
      </c>
      <c r="E19" s="61" t="s">
        <v>115</v>
      </c>
      <c r="F19" s="61" t="s">
        <v>116</v>
      </c>
      <c r="G19" s="61" t="s">
        <v>117</v>
      </c>
      <c r="H19" s="62" t="s">
        <v>88</v>
      </c>
      <c r="I19" s="63"/>
      <c r="J19" s="64"/>
      <c r="K19" s="63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59"/>
      <c r="B20" s="60">
        <v>11.0</v>
      </c>
      <c r="C20" s="60" t="s">
        <v>83</v>
      </c>
      <c r="D20" s="60" t="s">
        <v>118</v>
      </c>
      <c r="E20" s="61" t="s">
        <v>119</v>
      </c>
      <c r="F20" s="61" t="s">
        <v>120</v>
      </c>
      <c r="G20" s="61" t="s">
        <v>121</v>
      </c>
      <c r="H20" s="62" t="s">
        <v>88</v>
      </c>
      <c r="I20" s="63"/>
      <c r="J20" s="64"/>
      <c r="K20" s="63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59"/>
      <c r="B21" s="60">
        <v>12.0</v>
      </c>
      <c r="C21" s="60" t="s">
        <v>83</v>
      </c>
      <c r="D21" s="60" t="s">
        <v>118</v>
      </c>
      <c r="E21" s="61" t="s">
        <v>122</v>
      </c>
      <c r="F21" s="61" t="s">
        <v>123</v>
      </c>
      <c r="G21" s="61" t="s">
        <v>124</v>
      </c>
      <c r="H21" s="62" t="s">
        <v>88</v>
      </c>
      <c r="I21" s="63"/>
      <c r="J21" s="64"/>
      <c r="K21" s="63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59"/>
      <c r="B22" s="60">
        <v>13.0</v>
      </c>
      <c r="C22" s="60" t="s">
        <v>83</v>
      </c>
      <c r="D22" s="60" t="s">
        <v>125</v>
      </c>
      <c r="E22" s="61" t="s">
        <v>126</v>
      </c>
      <c r="F22" s="61" t="s">
        <v>127</v>
      </c>
      <c r="G22" s="61" t="s">
        <v>128</v>
      </c>
      <c r="H22" s="62" t="s">
        <v>88</v>
      </c>
      <c r="I22" s="63"/>
      <c r="J22" s="64"/>
      <c r="K22" s="63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59"/>
      <c r="B23" s="60">
        <v>14.0</v>
      </c>
      <c r="C23" s="60" t="s">
        <v>83</v>
      </c>
      <c r="D23" s="60" t="s">
        <v>125</v>
      </c>
      <c r="E23" s="61" t="s">
        <v>129</v>
      </c>
      <c r="F23" s="61" t="s">
        <v>130</v>
      </c>
      <c r="G23" s="61" t="s">
        <v>131</v>
      </c>
      <c r="H23" s="62" t="s">
        <v>88</v>
      </c>
      <c r="I23" s="63"/>
      <c r="J23" s="64"/>
      <c r="K23" s="63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59"/>
      <c r="B24" s="60">
        <v>15.0</v>
      </c>
      <c r="C24" s="60" t="s">
        <v>83</v>
      </c>
      <c r="D24" s="60" t="s">
        <v>125</v>
      </c>
      <c r="E24" s="61" t="s">
        <v>132</v>
      </c>
      <c r="F24" s="61" t="s">
        <v>133</v>
      </c>
      <c r="G24" s="61" t="s">
        <v>134</v>
      </c>
      <c r="H24" s="62" t="s">
        <v>88</v>
      </c>
      <c r="I24" s="63"/>
      <c r="J24" s="64"/>
      <c r="K24" s="63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9"/>
      <c r="B25" s="60">
        <v>16.0</v>
      </c>
      <c r="C25" s="60" t="s">
        <v>83</v>
      </c>
      <c r="D25" s="60" t="s">
        <v>135</v>
      </c>
      <c r="E25" s="61" t="s">
        <v>136</v>
      </c>
      <c r="F25" s="61" t="s">
        <v>137</v>
      </c>
      <c r="G25" s="61" t="s">
        <v>138</v>
      </c>
      <c r="H25" s="62" t="s">
        <v>88</v>
      </c>
      <c r="I25" s="63"/>
      <c r="J25" s="64"/>
      <c r="K25" s="63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9"/>
      <c r="B26" s="60">
        <v>17.0</v>
      </c>
      <c r="C26" s="60" t="s">
        <v>83</v>
      </c>
      <c r="D26" s="60" t="s">
        <v>135</v>
      </c>
      <c r="E26" s="61" t="s">
        <v>139</v>
      </c>
      <c r="F26" s="61" t="s">
        <v>140</v>
      </c>
      <c r="G26" s="61" t="s">
        <v>141</v>
      </c>
      <c r="H26" s="62" t="s">
        <v>88</v>
      </c>
      <c r="I26" s="63"/>
      <c r="J26" s="64"/>
      <c r="K26" s="63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9"/>
      <c r="B27" s="60">
        <v>18.0</v>
      </c>
      <c r="C27" s="60" t="s">
        <v>83</v>
      </c>
      <c r="D27" s="60" t="s">
        <v>135</v>
      </c>
      <c r="E27" s="61" t="s">
        <v>142</v>
      </c>
      <c r="F27" s="61" t="s">
        <v>143</v>
      </c>
      <c r="G27" s="61" t="s">
        <v>144</v>
      </c>
      <c r="H27" s="62" t="s">
        <v>88</v>
      </c>
      <c r="I27" s="63"/>
      <c r="J27" s="64"/>
      <c r="K27" s="63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59"/>
      <c r="B28" s="60">
        <v>19.0</v>
      </c>
      <c r="C28" s="60" t="s">
        <v>145</v>
      </c>
      <c r="D28" s="60" t="s">
        <v>146</v>
      </c>
      <c r="E28" s="61" t="s">
        <v>147</v>
      </c>
      <c r="F28" s="61" t="s">
        <v>148</v>
      </c>
      <c r="G28" s="65" t="s">
        <v>149</v>
      </c>
      <c r="H28" s="62" t="s">
        <v>88</v>
      </c>
      <c r="I28" s="63"/>
      <c r="J28" s="64"/>
      <c r="K28" s="63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59"/>
      <c r="B29" s="60">
        <v>20.0</v>
      </c>
      <c r="C29" s="60" t="s">
        <v>145</v>
      </c>
      <c r="D29" s="60" t="s">
        <v>146</v>
      </c>
      <c r="E29" s="61" t="s">
        <v>150</v>
      </c>
      <c r="F29" s="61" t="s">
        <v>151</v>
      </c>
      <c r="G29" s="61" t="s">
        <v>152</v>
      </c>
      <c r="H29" s="62" t="s">
        <v>88</v>
      </c>
      <c r="I29" s="63"/>
      <c r="J29" s="64"/>
      <c r="K29" s="63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59"/>
      <c r="B30" s="60">
        <v>21.0</v>
      </c>
      <c r="C30" s="60" t="s">
        <v>145</v>
      </c>
      <c r="D30" s="60" t="s">
        <v>146</v>
      </c>
      <c r="E30" s="61" t="s">
        <v>153</v>
      </c>
      <c r="F30" s="61" t="s">
        <v>154</v>
      </c>
      <c r="G30" s="61" t="s">
        <v>155</v>
      </c>
      <c r="H30" s="62" t="s">
        <v>88</v>
      </c>
      <c r="I30" s="63"/>
      <c r="J30" s="64"/>
      <c r="K30" s="63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59"/>
      <c r="B31" s="60">
        <v>22.0</v>
      </c>
      <c r="C31" s="60" t="s">
        <v>145</v>
      </c>
      <c r="D31" s="60" t="s">
        <v>146</v>
      </c>
      <c r="E31" s="61" t="s">
        <v>156</v>
      </c>
      <c r="F31" s="61" t="s">
        <v>157</v>
      </c>
      <c r="G31" s="61" t="s">
        <v>158</v>
      </c>
      <c r="H31" s="62" t="s">
        <v>88</v>
      </c>
      <c r="I31" s="63"/>
      <c r="J31" s="64"/>
      <c r="K31" s="63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59"/>
      <c r="B32" s="60">
        <v>23.0</v>
      </c>
      <c r="C32" s="60" t="s">
        <v>145</v>
      </c>
      <c r="D32" s="60" t="s">
        <v>159</v>
      </c>
      <c r="E32" s="61" t="s">
        <v>160</v>
      </c>
      <c r="F32" s="61" t="s">
        <v>161</v>
      </c>
      <c r="G32" s="61" t="s">
        <v>162</v>
      </c>
      <c r="H32" s="62" t="s">
        <v>88</v>
      </c>
      <c r="I32" s="63"/>
      <c r="J32" s="64"/>
      <c r="K32" s="63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59"/>
      <c r="B33" s="60">
        <v>24.0</v>
      </c>
      <c r="C33" s="60" t="s">
        <v>163</v>
      </c>
      <c r="D33" s="60" t="s">
        <v>164</v>
      </c>
      <c r="E33" s="61" t="s">
        <v>165</v>
      </c>
      <c r="F33" s="61" t="s">
        <v>166</v>
      </c>
      <c r="G33" s="61" t="s">
        <v>167</v>
      </c>
      <c r="H33" s="62" t="s">
        <v>88</v>
      </c>
      <c r="I33" s="63"/>
      <c r="J33" s="64"/>
      <c r="K33" s="63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59"/>
      <c r="B34" s="60">
        <v>25.0</v>
      </c>
      <c r="C34" s="60" t="s">
        <v>163</v>
      </c>
      <c r="D34" s="60" t="s">
        <v>164</v>
      </c>
      <c r="E34" s="61" t="s">
        <v>168</v>
      </c>
      <c r="F34" s="61" t="s">
        <v>166</v>
      </c>
      <c r="G34" s="61" t="s">
        <v>169</v>
      </c>
      <c r="H34" s="62" t="s">
        <v>88</v>
      </c>
      <c r="I34" s="63"/>
      <c r="J34" s="64"/>
      <c r="K34" s="63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59"/>
      <c r="B35" s="60">
        <v>26.0</v>
      </c>
      <c r="C35" s="60" t="s">
        <v>163</v>
      </c>
      <c r="D35" s="60" t="s">
        <v>164</v>
      </c>
      <c r="E35" s="61" t="s">
        <v>170</v>
      </c>
      <c r="F35" s="61" t="s">
        <v>171</v>
      </c>
      <c r="G35" s="61" t="s">
        <v>172</v>
      </c>
      <c r="H35" s="62" t="s">
        <v>88</v>
      </c>
      <c r="I35" s="63"/>
      <c r="J35" s="64"/>
      <c r="K35" s="63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59"/>
      <c r="B36" s="60">
        <v>27.0</v>
      </c>
      <c r="C36" s="60" t="s">
        <v>163</v>
      </c>
      <c r="D36" s="60" t="s">
        <v>164</v>
      </c>
      <c r="E36" s="61" t="s">
        <v>173</v>
      </c>
      <c r="F36" s="61" t="s">
        <v>174</v>
      </c>
      <c r="G36" s="61" t="s">
        <v>175</v>
      </c>
      <c r="H36" s="62" t="s">
        <v>88</v>
      </c>
      <c r="I36" s="63"/>
      <c r="J36" s="64"/>
      <c r="K36" s="63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9"/>
      <c r="B37" s="60">
        <v>28.0</v>
      </c>
      <c r="C37" s="60" t="s">
        <v>163</v>
      </c>
      <c r="D37" s="60" t="s">
        <v>176</v>
      </c>
      <c r="E37" s="61" t="s">
        <v>177</v>
      </c>
      <c r="F37" s="61" t="s">
        <v>178</v>
      </c>
      <c r="G37" s="61" t="s">
        <v>179</v>
      </c>
      <c r="H37" s="62" t="s">
        <v>88</v>
      </c>
      <c r="I37" s="63"/>
      <c r="J37" s="64"/>
      <c r="K37" s="63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9"/>
      <c r="B38" s="60">
        <v>29.0</v>
      </c>
      <c r="C38" s="60" t="s">
        <v>163</v>
      </c>
      <c r="D38" s="60" t="s">
        <v>176</v>
      </c>
      <c r="E38" s="61" t="s">
        <v>180</v>
      </c>
      <c r="F38" s="61" t="s">
        <v>181</v>
      </c>
      <c r="G38" s="61" t="s">
        <v>182</v>
      </c>
      <c r="H38" s="62" t="s">
        <v>88</v>
      </c>
      <c r="I38" s="63"/>
      <c r="J38" s="64"/>
      <c r="K38" s="63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9"/>
      <c r="B39" s="60">
        <v>30.0</v>
      </c>
      <c r="C39" s="60" t="s">
        <v>83</v>
      </c>
      <c r="D39" s="60" t="s">
        <v>183</v>
      </c>
      <c r="E39" s="61" t="s">
        <v>184</v>
      </c>
      <c r="F39" s="61" t="s">
        <v>185</v>
      </c>
      <c r="G39" s="61" t="s">
        <v>186</v>
      </c>
      <c r="H39" s="62" t="s">
        <v>88</v>
      </c>
      <c r="I39" s="63"/>
      <c r="J39" s="64"/>
      <c r="K39" s="63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59"/>
      <c r="B40" s="60">
        <v>31.0</v>
      </c>
      <c r="C40" s="60" t="s">
        <v>83</v>
      </c>
      <c r="D40" s="60" t="s">
        <v>183</v>
      </c>
      <c r="E40" s="61" t="s">
        <v>187</v>
      </c>
      <c r="F40" s="61" t="s">
        <v>188</v>
      </c>
      <c r="G40" s="61" t="s">
        <v>189</v>
      </c>
      <c r="H40" s="62" t="s">
        <v>88</v>
      </c>
      <c r="I40" s="63"/>
      <c r="J40" s="64"/>
      <c r="K40" s="63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59"/>
      <c r="B41" s="60">
        <v>32.0</v>
      </c>
      <c r="C41" s="60" t="s">
        <v>83</v>
      </c>
      <c r="D41" s="60" t="s">
        <v>183</v>
      </c>
      <c r="E41" s="61" t="s">
        <v>190</v>
      </c>
      <c r="F41" s="61" t="s">
        <v>191</v>
      </c>
      <c r="G41" s="61" t="s">
        <v>192</v>
      </c>
      <c r="H41" s="62" t="s">
        <v>88</v>
      </c>
      <c r="I41" s="63"/>
      <c r="J41" s="64"/>
      <c r="K41" s="63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59"/>
      <c r="B42" s="60">
        <v>33.0</v>
      </c>
      <c r="C42" s="60" t="s">
        <v>83</v>
      </c>
      <c r="D42" s="60" t="s">
        <v>183</v>
      </c>
      <c r="E42" s="61" t="s">
        <v>193</v>
      </c>
      <c r="F42" s="61" t="s">
        <v>194</v>
      </c>
      <c r="G42" s="61" t="s">
        <v>195</v>
      </c>
      <c r="H42" s="62" t="s">
        <v>88</v>
      </c>
      <c r="I42" s="63"/>
      <c r="J42" s="64"/>
      <c r="K42" s="63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59"/>
      <c r="B43" s="60">
        <v>34.0</v>
      </c>
      <c r="C43" s="60" t="s">
        <v>83</v>
      </c>
      <c r="D43" s="60" t="s">
        <v>183</v>
      </c>
      <c r="E43" s="61" t="s">
        <v>196</v>
      </c>
      <c r="F43" s="61" t="s">
        <v>197</v>
      </c>
      <c r="G43" s="61" t="s">
        <v>198</v>
      </c>
      <c r="H43" s="62" t="s">
        <v>88</v>
      </c>
      <c r="I43" s="63"/>
      <c r="J43" s="64"/>
      <c r="K43" s="63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59"/>
      <c r="B44" s="60">
        <v>35.0</v>
      </c>
      <c r="C44" s="60" t="s">
        <v>83</v>
      </c>
      <c r="D44" s="60" t="s">
        <v>183</v>
      </c>
      <c r="E44" s="61" t="s">
        <v>199</v>
      </c>
      <c r="F44" s="61" t="s">
        <v>200</v>
      </c>
      <c r="G44" s="61" t="s">
        <v>201</v>
      </c>
      <c r="H44" s="62" t="s">
        <v>88</v>
      </c>
      <c r="I44" s="63"/>
      <c r="J44" s="64"/>
      <c r="K44" s="63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59"/>
      <c r="B45" s="60">
        <v>36.0</v>
      </c>
      <c r="C45" s="60" t="s">
        <v>83</v>
      </c>
      <c r="D45" s="60" t="s">
        <v>183</v>
      </c>
      <c r="E45" s="61" t="s">
        <v>202</v>
      </c>
      <c r="F45" s="61" t="s">
        <v>203</v>
      </c>
      <c r="G45" s="61" t="s">
        <v>204</v>
      </c>
      <c r="H45" s="62" t="s">
        <v>88</v>
      </c>
      <c r="I45" s="63"/>
      <c r="J45" s="64"/>
      <c r="K45" s="63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59"/>
      <c r="B46" s="60">
        <v>37.0</v>
      </c>
      <c r="C46" s="60" t="s">
        <v>83</v>
      </c>
      <c r="D46" s="60" t="s">
        <v>183</v>
      </c>
      <c r="E46" s="61" t="s">
        <v>205</v>
      </c>
      <c r="F46" s="61" t="s">
        <v>206</v>
      </c>
      <c r="G46" s="61" t="s">
        <v>207</v>
      </c>
      <c r="H46" s="62" t="s">
        <v>88</v>
      </c>
      <c r="I46" s="63"/>
      <c r="J46" s="64"/>
      <c r="K46" s="63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59"/>
      <c r="B47" s="60">
        <v>38.0</v>
      </c>
      <c r="C47" s="60" t="s">
        <v>83</v>
      </c>
      <c r="D47" s="60" t="s">
        <v>183</v>
      </c>
      <c r="E47" s="61" t="s">
        <v>208</v>
      </c>
      <c r="F47" s="61" t="s">
        <v>209</v>
      </c>
      <c r="G47" s="61" t="s">
        <v>210</v>
      </c>
      <c r="H47" s="62" t="s">
        <v>88</v>
      </c>
      <c r="I47" s="63"/>
      <c r="J47" s="64"/>
      <c r="K47" s="63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59"/>
      <c r="B48" s="60">
        <v>39.0</v>
      </c>
      <c r="C48" s="60" t="s">
        <v>83</v>
      </c>
      <c r="D48" s="60" t="s">
        <v>183</v>
      </c>
      <c r="E48" s="61" t="s">
        <v>211</v>
      </c>
      <c r="F48" s="61" t="s">
        <v>212</v>
      </c>
      <c r="G48" s="61" t="s">
        <v>213</v>
      </c>
      <c r="H48" s="62" t="s">
        <v>88</v>
      </c>
      <c r="I48" s="63"/>
      <c r="J48" s="64"/>
      <c r="K48" s="63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9"/>
      <c r="B49" s="60">
        <v>40.0</v>
      </c>
      <c r="C49" s="60" t="s">
        <v>83</v>
      </c>
      <c r="D49" s="60" t="s">
        <v>183</v>
      </c>
      <c r="E49" s="61" t="s">
        <v>214</v>
      </c>
      <c r="F49" s="61" t="s">
        <v>215</v>
      </c>
      <c r="G49" s="61" t="s">
        <v>216</v>
      </c>
      <c r="H49" s="62" t="s">
        <v>88</v>
      </c>
      <c r="I49" s="63"/>
      <c r="J49" s="64"/>
      <c r="K49" s="63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9"/>
      <c r="B50" s="60">
        <v>41.0</v>
      </c>
      <c r="C50" s="60" t="s">
        <v>83</v>
      </c>
      <c r="D50" s="60" t="s">
        <v>183</v>
      </c>
      <c r="E50" s="61" t="s">
        <v>217</v>
      </c>
      <c r="F50" s="61" t="s">
        <v>218</v>
      </c>
      <c r="G50" s="61" t="s">
        <v>219</v>
      </c>
      <c r="H50" s="62" t="s">
        <v>88</v>
      </c>
      <c r="I50" s="63"/>
      <c r="J50" s="64"/>
      <c r="K50" s="63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9"/>
      <c r="B51" s="60">
        <v>42.0</v>
      </c>
      <c r="C51" s="60" t="s">
        <v>83</v>
      </c>
      <c r="D51" s="60" t="s">
        <v>183</v>
      </c>
      <c r="E51" s="61" t="s">
        <v>220</v>
      </c>
      <c r="F51" s="61" t="s">
        <v>221</v>
      </c>
      <c r="G51" s="61" t="s">
        <v>222</v>
      </c>
      <c r="H51" s="62" t="s">
        <v>88</v>
      </c>
      <c r="I51" s="63"/>
      <c r="J51" s="64"/>
      <c r="K51" s="63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59"/>
      <c r="B52" s="60">
        <v>43.0</v>
      </c>
      <c r="C52" s="60" t="s">
        <v>83</v>
      </c>
      <c r="D52" s="60" t="s">
        <v>183</v>
      </c>
      <c r="E52" s="61" t="s">
        <v>223</v>
      </c>
      <c r="F52" s="61" t="s">
        <v>224</v>
      </c>
      <c r="G52" s="61" t="s">
        <v>225</v>
      </c>
      <c r="H52" s="62" t="s">
        <v>88</v>
      </c>
      <c r="I52" s="63"/>
      <c r="J52" s="64"/>
      <c r="K52" s="63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59"/>
      <c r="B53" s="60">
        <v>44.0</v>
      </c>
      <c r="C53" s="60" t="s">
        <v>83</v>
      </c>
      <c r="D53" s="60" t="s">
        <v>183</v>
      </c>
      <c r="E53" s="61" t="s">
        <v>226</v>
      </c>
      <c r="F53" s="61" t="s">
        <v>227</v>
      </c>
      <c r="G53" s="61" t="s">
        <v>228</v>
      </c>
      <c r="H53" s="62" t="s">
        <v>88</v>
      </c>
      <c r="I53" s="63"/>
      <c r="J53" s="64"/>
      <c r="K53" s="63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59"/>
      <c r="B54" s="60">
        <v>45.0</v>
      </c>
      <c r="C54" s="60" t="s">
        <v>83</v>
      </c>
      <c r="D54" s="60" t="s">
        <v>229</v>
      </c>
      <c r="E54" s="61" t="s">
        <v>119</v>
      </c>
      <c r="F54" s="61" t="s">
        <v>230</v>
      </c>
      <c r="G54" s="61" t="s">
        <v>231</v>
      </c>
      <c r="H54" s="62" t="s">
        <v>88</v>
      </c>
      <c r="I54" s="63"/>
      <c r="J54" s="64"/>
      <c r="K54" s="63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59"/>
      <c r="B55" s="60">
        <v>46.0</v>
      </c>
      <c r="C55" s="60" t="s">
        <v>83</v>
      </c>
      <c r="D55" s="60" t="s">
        <v>229</v>
      </c>
      <c r="E55" s="61" t="s">
        <v>232</v>
      </c>
      <c r="F55" s="61" t="s">
        <v>233</v>
      </c>
      <c r="G55" s="61" t="s">
        <v>234</v>
      </c>
      <c r="H55" s="62" t="s">
        <v>88</v>
      </c>
      <c r="I55" s="63"/>
      <c r="J55" s="64"/>
      <c r="K55" s="63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59"/>
      <c r="B56" s="60">
        <v>47.0</v>
      </c>
      <c r="C56" s="60" t="s">
        <v>83</v>
      </c>
      <c r="D56" s="60" t="s">
        <v>229</v>
      </c>
      <c r="E56" s="61" t="s">
        <v>119</v>
      </c>
      <c r="F56" s="61" t="s">
        <v>235</v>
      </c>
      <c r="G56" s="65" t="s">
        <v>236</v>
      </c>
      <c r="H56" s="62" t="s">
        <v>88</v>
      </c>
      <c r="I56" s="63"/>
      <c r="J56" s="64"/>
      <c r="K56" s="63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59"/>
      <c r="B57" s="60">
        <v>48.0</v>
      </c>
      <c r="C57" s="60" t="s">
        <v>83</v>
      </c>
      <c r="D57" s="60" t="s">
        <v>229</v>
      </c>
      <c r="E57" s="61" t="s">
        <v>119</v>
      </c>
      <c r="F57" s="61" t="s">
        <v>237</v>
      </c>
      <c r="G57" s="61" t="s">
        <v>238</v>
      </c>
      <c r="H57" s="62" t="s">
        <v>88</v>
      </c>
      <c r="I57" s="63"/>
      <c r="J57" s="64"/>
      <c r="K57" s="63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59"/>
      <c r="B58" s="60">
        <v>49.0</v>
      </c>
      <c r="C58" s="60" t="s">
        <v>83</v>
      </c>
      <c r="D58" s="60" t="s">
        <v>229</v>
      </c>
      <c r="E58" s="61" t="s">
        <v>239</v>
      </c>
      <c r="F58" s="61" t="s">
        <v>240</v>
      </c>
      <c r="G58" s="61" t="s">
        <v>241</v>
      </c>
      <c r="H58" s="62" t="s">
        <v>88</v>
      </c>
      <c r="I58" s="63"/>
      <c r="J58" s="64"/>
      <c r="K58" s="63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59"/>
      <c r="B59" s="60">
        <v>50.0</v>
      </c>
      <c r="C59" s="60" t="s">
        <v>83</v>
      </c>
      <c r="D59" s="60" t="s">
        <v>242</v>
      </c>
      <c r="E59" s="61" t="s">
        <v>243</v>
      </c>
      <c r="F59" s="61" t="s">
        <v>244</v>
      </c>
      <c r="G59" s="61" t="s">
        <v>245</v>
      </c>
      <c r="H59" s="62" t="s">
        <v>88</v>
      </c>
      <c r="I59" s="63"/>
      <c r="J59" s="64"/>
      <c r="K59" s="63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59"/>
      <c r="B60" s="60">
        <v>51.0</v>
      </c>
      <c r="C60" s="60" t="s">
        <v>83</v>
      </c>
      <c r="D60" s="60" t="s">
        <v>242</v>
      </c>
      <c r="E60" s="61" t="s">
        <v>246</v>
      </c>
      <c r="F60" s="61" t="s">
        <v>247</v>
      </c>
      <c r="G60" s="65" t="s">
        <v>248</v>
      </c>
      <c r="H60" s="62" t="s">
        <v>88</v>
      </c>
      <c r="I60" s="63"/>
      <c r="J60" s="64"/>
      <c r="K60" s="63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9"/>
      <c r="B61" s="60">
        <v>52.0</v>
      </c>
      <c r="C61" s="60" t="s">
        <v>83</v>
      </c>
      <c r="D61" s="60" t="s">
        <v>242</v>
      </c>
      <c r="E61" s="61" t="s">
        <v>249</v>
      </c>
      <c r="F61" s="61" t="s">
        <v>250</v>
      </c>
      <c r="G61" s="61" t="s">
        <v>251</v>
      </c>
      <c r="H61" s="62" t="s">
        <v>88</v>
      </c>
      <c r="I61" s="63"/>
      <c r="J61" s="64"/>
      <c r="K61" s="63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9"/>
      <c r="B62" s="60">
        <v>53.0</v>
      </c>
      <c r="C62" s="60" t="s">
        <v>83</v>
      </c>
      <c r="D62" s="60" t="s">
        <v>242</v>
      </c>
      <c r="E62" s="61" t="s">
        <v>252</v>
      </c>
      <c r="F62" s="61" t="s">
        <v>253</v>
      </c>
      <c r="G62" s="65" t="s">
        <v>254</v>
      </c>
      <c r="H62" s="62" t="s">
        <v>88</v>
      </c>
      <c r="I62" s="63"/>
      <c r="J62" s="64"/>
      <c r="K62" s="63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9"/>
      <c r="B63" s="60">
        <v>54.0</v>
      </c>
      <c r="C63" s="60" t="s">
        <v>83</v>
      </c>
      <c r="D63" s="60" t="s">
        <v>242</v>
      </c>
      <c r="E63" s="61" t="s">
        <v>255</v>
      </c>
      <c r="F63" s="61" t="s">
        <v>256</v>
      </c>
      <c r="G63" s="61" t="s">
        <v>257</v>
      </c>
      <c r="H63" s="62" t="s">
        <v>88</v>
      </c>
      <c r="I63" s="63"/>
      <c r="J63" s="64"/>
      <c r="K63" s="63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59"/>
      <c r="B64" s="60">
        <v>55.0</v>
      </c>
      <c r="C64" s="60" t="s">
        <v>83</v>
      </c>
      <c r="D64" s="60" t="s">
        <v>242</v>
      </c>
      <c r="E64" s="61" t="s">
        <v>258</v>
      </c>
      <c r="F64" s="61" t="s">
        <v>259</v>
      </c>
      <c r="G64" s="61" t="s">
        <v>260</v>
      </c>
      <c r="H64" s="62" t="s">
        <v>88</v>
      </c>
      <c r="I64" s="63"/>
      <c r="J64" s="64"/>
      <c r="K64" s="63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59"/>
      <c r="B65" s="60">
        <v>56.0</v>
      </c>
      <c r="C65" s="60" t="s">
        <v>83</v>
      </c>
      <c r="D65" s="60" t="s">
        <v>261</v>
      </c>
      <c r="E65" s="61" t="s">
        <v>243</v>
      </c>
      <c r="F65" s="61" t="s">
        <v>262</v>
      </c>
      <c r="G65" s="61" t="s">
        <v>263</v>
      </c>
      <c r="H65" s="62" t="s">
        <v>88</v>
      </c>
      <c r="I65" s="63"/>
      <c r="J65" s="64"/>
      <c r="K65" s="63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59"/>
      <c r="B66" s="60">
        <v>57.0</v>
      </c>
      <c r="C66" s="60" t="s">
        <v>83</v>
      </c>
      <c r="D66" s="60" t="s">
        <v>261</v>
      </c>
      <c r="E66" s="61" t="s">
        <v>246</v>
      </c>
      <c r="F66" s="61" t="s">
        <v>264</v>
      </c>
      <c r="G66" s="61" t="s">
        <v>265</v>
      </c>
      <c r="H66" s="62" t="s">
        <v>88</v>
      </c>
      <c r="I66" s="63"/>
      <c r="J66" s="64"/>
      <c r="K66" s="63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59"/>
      <c r="B67" s="60">
        <v>58.0</v>
      </c>
      <c r="C67" s="60" t="s">
        <v>83</v>
      </c>
      <c r="D67" s="60" t="s">
        <v>261</v>
      </c>
      <c r="E67" s="61" t="s">
        <v>266</v>
      </c>
      <c r="F67" s="61" t="s">
        <v>267</v>
      </c>
      <c r="G67" s="61" t="s">
        <v>268</v>
      </c>
      <c r="H67" s="62" t="s">
        <v>88</v>
      </c>
      <c r="I67" s="63"/>
      <c r="J67" s="64"/>
      <c r="K67" s="63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59"/>
      <c r="B68" s="60">
        <v>59.0</v>
      </c>
      <c r="C68" s="60" t="s">
        <v>83</v>
      </c>
      <c r="D68" s="60" t="s">
        <v>261</v>
      </c>
      <c r="E68" s="61" t="s">
        <v>269</v>
      </c>
      <c r="F68" s="61" t="s">
        <v>270</v>
      </c>
      <c r="G68" s="61" t="s">
        <v>271</v>
      </c>
      <c r="H68" s="62" t="s">
        <v>88</v>
      </c>
      <c r="I68" s="63"/>
      <c r="J68" s="64"/>
      <c r="K68" s="63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59"/>
      <c r="B69" s="60">
        <v>60.0</v>
      </c>
      <c r="C69" s="60" t="s">
        <v>83</v>
      </c>
      <c r="D69" s="60" t="s">
        <v>272</v>
      </c>
      <c r="E69" s="61" t="s">
        <v>273</v>
      </c>
      <c r="F69" s="61" t="s">
        <v>274</v>
      </c>
      <c r="G69" s="61" t="s">
        <v>275</v>
      </c>
      <c r="H69" s="62" t="s">
        <v>88</v>
      </c>
      <c r="I69" s="63"/>
      <c r="J69" s="64"/>
      <c r="K69" s="63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59"/>
      <c r="B70" s="60">
        <v>61.0</v>
      </c>
      <c r="C70" s="60" t="s">
        <v>83</v>
      </c>
      <c r="D70" s="60" t="s">
        <v>272</v>
      </c>
      <c r="E70" s="61" t="s">
        <v>276</v>
      </c>
      <c r="F70" s="61" t="s">
        <v>277</v>
      </c>
      <c r="G70" s="61" t="s">
        <v>278</v>
      </c>
      <c r="H70" s="62" t="s">
        <v>88</v>
      </c>
      <c r="I70" s="63"/>
      <c r="J70" s="64"/>
      <c r="K70" s="63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59"/>
      <c r="B71" s="60">
        <v>62.0</v>
      </c>
      <c r="C71" s="60" t="s">
        <v>83</v>
      </c>
      <c r="D71" s="60" t="s">
        <v>272</v>
      </c>
      <c r="E71" s="61" t="s">
        <v>279</v>
      </c>
      <c r="F71" s="61" t="s">
        <v>280</v>
      </c>
      <c r="G71" s="61" t="s">
        <v>281</v>
      </c>
      <c r="H71" s="62" t="s">
        <v>88</v>
      </c>
      <c r="I71" s="63"/>
      <c r="J71" s="64"/>
      <c r="K71" s="63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59"/>
      <c r="B72" s="60">
        <v>63.0</v>
      </c>
      <c r="C72" s="60" t="s">
        <v>83</v>
      </c>
      <c r="D72" s="60" t="s">
        <v>272</v>
      </c>
      <c r="E72" s="61" t="s">
        <v>282</v>
      </c>
      <c r="F72" s="61" t="s">
        <v>283</v>
      </c>
      <c r="G72" s="61" t="s">
        <v>284</v>
      </c>
      <c r="H72" s="62" t="s">
        <v>88</v>
      </c>
      <c r="I72" s="63"/>
      <c r="J72" s="64"/>
      <c r="K72" s="63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9"/>
      <c r="B73" s="60">
        <v>64.0</v>
      </c>
      <c r="C73" s="60" t="s">
        <v>83</v>
      </c>
      <c r="D73" s="60" t="s">
        <v>285</v>
      </c>
      <c r="E73" s="61" t="s">
        <v>286</v>
      </c>
      <c r="F73" s="61" t="s">
        <v>287</v>
      </c>
      <c r="G73" s="61" t="s">
        <v>288</v>
      </c>
      <c r="H73" s="62" t="s">
        <v>88</v>
      </c>
      <c r="I73" s="63"/>
      <c r="J73" s="64"/>
      <c r="K73" s="63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9"/>
      <c r="B74" s="60">
        <v>65.0</v>
      </c>
      <c r="C74" s="60" t="s">
        <v>83</v>
      </c>
      <c r="D74" s="60" t="s">
        <v>285</v>
      </c>
      <c r="E74" s="61" t="s">
        <v>289</v>
      </c>
      <c r="F74" s="61" t="s">
        <v>290</v>
      </c>
      <c r="G74" s="61" t="s">
        <v>291</v>
      </c>
      <c r="H74" s="62" t="s">
        <v>88</v>
      </c>
      <c r="I74" s="63"/>
      <c r="J74" s="64"/>
      <c r="K74" s="63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9"/>
      <c r="B75" s="60">
        <v>66.0</v>
      </c>
      <c r="C75" s="60" t="s">
        <v>83</v>
      </c>
      <c r="D75" s="60" t="s">
        <v>285</v>
      </c>
      <c r="E75" s="61" t="s">
        <v>292</v>
      </c>
      <c r="F75" s="61" t="s">
        <v>293</v>
      </c>
      <c r="G75" s="65" t="s">
        <v>294</v>
      </c>
      <c r="H75" s="62" t="s">
        <v>88</v>
      </c>
      <c r="I75" s="63"/>
      <c r="J75" s="64"/>
      <c r="K75" s="63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59"/>
      <c r="B76" s="60">
        <v>67.0</v>
      </c>
      <c r="C76" s="60" t="s">
        <v>83</v>
      </c>
      <c r="D76" s="60" t="s">
        <v>285</v>
      </c>
      <c r="E76" s="61" t="s">
        <v>295</v>
      </c>
      <c r="F76" s="61" t="s">
        <v>296</v>
      </c>
      <c r="G76" s="61" t="s">
        <v>297</v>
      </c>
      <c r="H76" s="62" t="s">
        <v>88</v>
      </c>
      <c r="I76" s="63"/>
      <c r="J76" s="64"/>
      <c r="K76" s="63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59"/>
      <c r="B77" s="60">
        <v>68.0</v>
      </c>
      <c r="C77" s="60" t="s">
        <v>83</v>
      </c>
      <c r="D77" s="60" t="s">
        <v>285</v>
      </c>
      <c r="E77" s="61" t="s">
        <v>298</v>
      </c>
      <c r="F77" s="61" t="s">
        <v>299</v>
      </c>
      <c r="G77" s="61" t="s">
        <v>300</v>
      </c>
      <c r="H77" s="62" t="s">
        <v>88</v>
      </c>
      <c r="I77" s="63"/>
      <c r="J77" s="64"/>
      <c r="K77" s="63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59"/>
      <c r="B78" s="60">
        <v>69.0</v>
      </c>
      <c r="C78" s="60" t="s">
        <v>83</v>
      </c>
      <c r="D78" s="60" t="s">
        <v>301</v>
      </c>
      <c r="E78" s="61" t="s">
        <v>302</v>
      </c>
      <c r="F78" s="61" t="s">
        <v>303</v>
      </c>
      <c r="G78" s="61" t="s">
        <v>304</v>
      </c>
      <c r="H78" s="62" t="s">
        <v>88</v>
      </c>
      <c r="I78" s="63"/>
      <c r="J78" s="64"/>
      <c r="K78" s="63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59"/>
      <c r="B79" s="60">
        <v>70.0</v>
      </c>
      <c r="C79" s="60" t="s">
        <v>83</v>
      </c>
      <c r="D79" s="60" t="s">
        <v>301</v>
      </c>
      <c r="E79" s="61" t="s">
        <v>305</v>
      </c>
      <c r="F79" s="61" t="s">
        <v>306</v>
      </c>
      <c r="G79" s="61" t="s">
        <v>307</v>
      </c>
      <c r="H79" s="62" t="s">
        <v>88</v>
      </c>
      <c r="I79" s="63"/>
      <c r="J79" s="64"/>
      <c r="K79" s="63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59"/>
      <c r="B80" s="60">
        <v>71.0</v>
      </c>
      <c r="C80" s="60" t="s">
        <v>83</v>
      </c>
      <c r="D80" s="60" t="s">
        <v>301</v>
      </c>
      <c r="E80" s="61" t="s">
        <v>308</v>
      </c>
      <c r="F80" s="61" t="s">
        <v>309</v>
      </c>
      <c r="G80" s="61" t="s">
        <v>310</v>
      </c>
      <c r="H80" s="62" t="s">
        <v>88</v>
      </c>
      <c r="I80" s="63"/>
      <c r="J80" s="64"/>
      <c r="K80" s="63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59"/>
      <c r="B81" s="60">
        <v>72.0</v>
      </c>
      <c r="C81" s="60" t="s">
        <v>83</v>
      </c>
      <c r="D81" s="60" t="s">
        <v>301</v>
      </c>
      <c r="E81" s="61" t="s">
        <v>311</v>
      </c>
      <c r="F81" s="61" t="s">
        <v>312</v>
      </c>
      <c r="G81" s="61" t="s">
        <v>313</v>
      </c>
      <c r="H81" s="62" t="s">
        <v>88</v>
      </c>
      <c r="I81" s="63"/>
      <c r="J81" s="64"/>
      <c r="K81" s="63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59"/>
      <c r="B82" s="60">
        <v>73.0</v>
      </c>
      <c r="C82" s="60" t="s">
        <v>83</v>
      </c>
      <c r="D82" s="60" t="s">
        <v>301</v>
      </c>
      <c r="E82" s="61" t="s">
        <v>314</v>
      </c>
      <c r="F82" s="61" t="s">
        <v>315</v>
      </c>
      <c r="G82" s="61" t="s">
        <v>316</v>
      </c>
      <c r="H82" s="62" t="s">
        <v>88</v>
      </c>
      <c r="I82" s="63"/>
      <c r="J82" s="64"/>
      <c r="K82" s="63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59"/>
      <c r="B83" s="60">
        <v>74.0</v>
      </c>
      <c r="C83" s="60" t="s">
        <v>83</v>
      </c>
      <c r="D83" s="60" t="s">
        <v>301</v>
      </c>
      <c r="E83" s="61" t="s">
        <v>317</v>
      </c>
      <c r="F83" s="61" t="s">
        <v>309</v>
      </c>
      <c r="G83" s="61" t="s">
        <v>318</v>
      </c>
      <c r="H83" s="62" t="s">
        <v>88</v>
      </c>
      <c r="I83" s="63"/>
      <c r="J83" s="64"/>
      <c r="K83" s="63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59"/>
      <c r="B84" s="60">
        <v>75.0</v>
      </c>
      <c r="C84" s="60" t="s">
        <v>83</v>
      </c>
      <c r="D84" s="60" t="s">
        <v>301</v>
      </c>
      <c r="E84" s="61" t="s">
        <v>319</v>
      </c>
      <c r="F84" s="61" t="s">
        <v>320</v>
      </c>
      <c r="G84" s="61" t="s">
        <v>313</v>
      </c>
      <c r="H84" s="62" t="s">
        <v>88</v>
      </c>
      <c r="I84" s="63"/>
      <c r="J84" s="64"/>
      <c r="K84" s="63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59"/>
      <c r="B85" s="60">
        <v>76.0</v>
      </c>
      <c r="C85" s="60" t="s">
        <v>83</v>
      </c>
      <c r="D85" s="60" t="s">
        <v>301</v>
      </c>
      <c r="E85" s="61" t="s">
        <v>321</v>
      </c>
      <c r="F85" s="61" t="s">
        <v>322</v>
      </c>
      <c r="G85" s="61" t="s">
        <v>316</v>
      </c>
      <c r="H85" s="62" t="s">
        <v>88</v>
      </c>
      <c r="I85" s="63"/>
      <c r="J85" s="64"/>
      <c r="K85" s="63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9"/>
      <c r="B86" s="60">
        <v>77.0</v>
      </c>
      <c r="C86" s="60" t="s">
        <v>83</v>
      </c>
      <c r="D86" s="60" t="s">
        <v>301</v>
      </c>
      <c r="E86" s="61" t="s">
        <v>323</v>
      </c>
      <c r="F86" s="61" t="s">
        <v>324</v>
      </c>
      <c r="G86" s="61" t="s">
        <v>325</v>
      </c>
      <c r="H86" s="62" t="s">
        <v>88</v>
      </c>
      <c r="I86" s="63"/>
      <c r="J86" s="64"/>
      <c r="K86" s="63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9"/>
      <c r="B87" s="60">
        <v>78.0</v>
      </c>
      <c r="C87" s="60" t="s">
        <v>83</v>
      </c>
      <c r="D87" s="60" t="s">
        <v>301</v>
      </c>
      <c r="E87" s="61" t="s">
        <v>326</v>
      </c>
      <c r="F87" s="61" t="s">
        <v>327</v>
      </c>
      <c r="G87" s="61" t="s">
        <v>328</v>
      </c>
      <c r="H87" s="62" t="s">
        <v>88</v>
      </c>
      <c r="I87" s="63"/>
      <c r="J87" s="64"/>
      <c r="K87" s="63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59"/>
      <c r="B88" s="60">
        <v>79.0</v>
      </c>
      <c r="C88" s="60" t="s">
        <v>83</v>
      </c>
      <c r="D88" s="60" t="s">
        <v>301</v>
      </c>
      <c r="E88" s="61" t="s">
        <v>329</v>
      </c>
      <c r="F88" s="61" t="s">
        <v>330</v>
      </c>
      <c r="G88" s="61" t="s">
        <v>331</v>
      </c>
      <c r="H88" s="62" t="s">
        <v>88</v>
      </c>
      <c r="I88" s="63"/>
      <c r="J88" s="64"/>
      <c r="K88" s="63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59"/>
      <c r="B89" s="60">
        <v>80.0</v>
      </c>
      <c r="C89" s="60" t="s">
        <v>83</v>
      </c>
      <c r="D89" s="60" t="s">
        <v>301</v>
      </c>
      <c r="E89" s="61" t="s">
        <v>329</v>
      </c>
      <c r="F89" s="61" t="s">
        <v>332</v>
      </c>
      <c r="G89" s="61" t="s">
        <v>333</v>
      </c>
      <c r="H89" s="62" t="s">
        <v>88</v>
      </c>
      <c r="I89" s="63"/>
      <c r="J89" s="64"/>
      <c r="K89" s="63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59"/>
      <c r="B90" s="60">
        <v>81.0</v>
      </c>
      <c r="C90" s="60" t="s">
        <v>83</v>
      </c>
      <c r="D90" s="60" t="s">
        <v>301</v>
      </c>
      <c r="E90" s="61" t="s">
        <v>334</v>
      </c>
      <c r="F90" s="61" t="s">
        <v>335</v>
      </c>
      <c r="G90" s="61" t="s">
        <v>336</v>
      </c>
      <c r="H90" s="62" t="s">
        <v>88</v>
      </c>
      <c r="I90" s="63"/>
      <c r="J90" s="64"/>
      <c r="K90" s="63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59"/>
      <c r="B91" s="60">
        <v>82.0</v>
      </c>
      <c r="C91" s="60" t="s">
        <v>83</v>
      </c>
      <c r="D91" s="60" t="s">
        <v>301</v>
      </c>
      <c r="E91" s="61" t="s">
        <v>337</v>
      </c>
      <c r="F91" s="61" t="s">
        <v>338</v>
      </c>
      <c r="G91" s="61" t="s">
        <v>339</v>
      </c>
      <c r="H91" s="62" t="s">
        <v>88</v>
      </c>
      <c r="I91" s="63"/>
      <c r="J91" s="64"/>
      <c r="K91" s="63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59"/>
      <c r="B92" s="60">
        <v>83.0</v>
      </c>
      <c r="C92" s="60" t="s">
        <v>83</v>
      </c>
      <c r="D92" s="60" t="s">
        <v>301</v>
      </c>
      <c r="E92" s="61" t="s">
        <v>340</v>
      </c>
      <c r="F92" s="61" t="s">
        <v>341</v>
      </c>
      <c r="G92" s="65" t="s">
        <v>342</v>
      </c>
      <c r="H92" s="62" t="s">
        <v>88</v>
      </c>
      <c r="I92" s="63"/>
      <c r="J92" s="64"/>
      <c r="K92" s="63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59"/>
      <c r="B93" s="60">
        <v>84.0</v>
      </c>
      <c r="C93" s="60" t="s">
        <v>83</v>
      </c>
      <c r="D93" s="60" t="s">
        <v>301</v>
      </c>
      <c r="E93" s="61" t="s">
        <v>343</v>
      </c>
      <c r="F93" s="61" t="s">
        <v>344</v>
      </c>
      <c r="G93" s="61" t="s">
        <v>345</v>
      </c>
      <c r="H93" s="62" t="s">
        <v>88</v>
      </c>
      <c r="I93" s="63"/>
      <c r="J93" s="64"/>
      <c r="K93" s="63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59"/>
      <c r="B94" s="60">
        <v>85.0</v>
      </c>
      <c r="C94" s="60" t="s">
        <v>83</v>
      </c>
      <c r="D94" s="60" t="s">
        <v>301</v>
      </c>
      <c r="E94" s="61" t="s">
        <v>346</v>
      </c>
      <c r="F94" s="61" t="s">
        <v>347</v>
      </c>
      <c r="G94" s="61" t="s">
        <v>348</v>
      </c>
      <c r="H94" s="62" t="s">
        <v>88</v>
      </c>
      <c r="I94" s="63"/>
      <c r="J94" s="64"/>
      <c r="K94" s="63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59"/>
      <c r="B95" s="60">
        <v>86.0</v>
      </c>
      <c r="C95" s="60" t="s">
        <v>83</v>
      </c>
      <c r="D95" s="60" t="s">
        <v>301</v>
      </c>
      <c r="E95" s="61" t="s">
        <v>349</v>
      </c>
      <c r="F95" s="61" t="s">
        <v>350</v>
      </c>
      <c r="G95" s="61" t="s">
        <v>351</v>
      </c>
      <c r="H95" s="62" t="s">
        <v>88</v>
      </c>
      <c r="I95" s="63"/>
      <c r="J95" s="64"/>
      <c r="K95" s="63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59"/>
      <c r="B96" s="60">
        <v>87.0</v>
      </c>
      <c r="C96" s="60" t="s">
        <v>83</v>
      </c>
      <c r="D96" s="60" t="s">
        <v>301</v>
      </c>
      <c r="E96" s="61" t="s">
        <v>352</v>
      </c>
      <c r="F96" s="61" t="s">
        <v>353</v>
      </c>
      <c r="G96" s="61" t="s">
        <v>354</v>
      </c>
      <c r="H96" s="62" t="s">
        <v>88</v>
      </c>
      <c r="I96" s="63"/>
      <c r="J96" s="64"/>
      <c r="K96" s="63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59"/>
      <c r="B97" s="60">
        <v>88.0</v>
      </c>
      <c r="C97" s="60" t="s">
        <v>355</v>
      </c>
      <c r="D97" s="60" t="s">
        <v>356</v>
      </c>
      <c r="E97" s="61" t="s">
        <v>357</v>
      </c>
      <c r="F97" s="61" t="s">
        <v>358</v>
      </c>
      <c r="G97" s="65" t="s">
        <v>359</v>
      </c>
      <c r="H97" s="62" t="s">
        <v>88</v>
      </c>
      <c r="I97" s="63"/>
      <c r="J97" s="64"/>
      <c r="K97" s="63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9"/>
      <c r="B98" s="60">
        <v>89.0</v>
      </c>
      <c r="C98" s="60" t="s">
        <v>355</v>
      </c>
      <c r="D98" s="60" t="s">
        <v>356</v>
      </c>
      <c r="E98" s="61" t="s">
        <v>360</v>
      </c>
      <c r="F98" s="61" t="s">
        <v>361</v>
      </c>
      <c r="G98" s="65" t="s">
        <v>362</v>
      </c>
      <c r="H98" s="62" t="s">
        <v>88</v>
      </c>
      <c r="I98" s="63"/>
      <c r="J98" s="64"/>
      <c r="K98" s="63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9"/>
      <c r="B99" s="60">
        <v>90.0</v>
      </c>
      <c r="C99" s="60" t="s">
        <v>355</v>
      </c>
      <c r="D99" s="60" t="s">
        <v>356</v>
      </c>
      <c r="E99" s="61" t="s">
        <v>363</v>
      </c>
      <c r="F99" s="61" t="s">
        <v>364</v>
      </c>
      <c r="G99" s="61" t="s">
        <v>365</v>
      </c>
      <c r="H99" s="62" t="s">
        <v>88</v>
      </c>
      <c r="I99" s="63"/>
      <c r="J99" s="64"/>
      <c r="K99" s="63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59"/>
      <c r="B100" s="60">
        <v>91.0</v>
      </c>
      <c r="C100" s="60" t="s">
        <v>355</v>
      </c>
      <c r="D100" s="60" t="s">
        <v>366</v>
      </c>
      <c r="E100" s="61" t="s">
        <v>367</v>
      </c>
      <c r="F100" s="61" t="s">
        <v>368</v>
      </c>
      <c r="G100" s="61" t="s">
        <v>369</v>
      </c>
      <c r="H100" s="62" t="s">
        <v>88</v>
      </c>
      <c r="I100" s="63"/>
      <c r="J100" s="64"/>
      <c r="K100" s="63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59"/>
      <c r="B101" s="60">
        <v>92.0</v>
      </c>
      <c r="C101" s="60" t="s">
        <v>355</v>
      </c>
      <c r="D101" s="60" t="s">
        <v>366</v>
      </c>
      <c r="E101" s="61" t="s">
        <v>370</v>
      </c>
      <c r="F101" s="61" t="s">
        <v>371</v>
      </c>
      <c r="G101" s="65" t="s">
        <v>372</v>
      </c>
      <c r="H101" s="62" t="s">
        <v>88</v>
      </c>
      <c r="I101" s="63"/>
      <c r="J101" s="64"/>
      <c r="K101" s="63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59"/>
      <c r="B102" s="60">
        <v>93.0</v>
      </c>
      <c r="C102" s="60" t="s">
        <v>355</v>
      </c>
      <c r="D102" s="60" t="s">
        <v>373</v>
      </c>
      <c r="E102" s="61" t="s">
        <v>374</v>
      </c>
      <c r="F102" s="61" t="s">
        <v>375</v>
      </c>
      <c r="G102" s="61" t="s">
        <v>376</v>
      </c>
      <c r="H102" s="62" t="s">
        <v>88</v>
      </c>
      <c r="I102" s="63"/>
      <c r="J102" s="64"/>
      <c r="K102" s="63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59"/>
      <c r="B103" s="60">
        <v>94.0</v>
      </c>
      <c r="C103" s="60" t="s">
        <v>355</v>
      </c>
      <c r="D103" s="60" t="s">
        <v>377</v>
      </c>
      <c r="E103" s="61" t="s">
        <v>378</v>
      </c>
      <c r="F103" s="61" t="s">
        <v>379</v>
      </c>
      <c r="G103" s="61" t="s">
        <v>380</v>
      </c>
      <c r="H103" s="62" t="s">
        <v>88</v>
      </c>
      <c r="I103" s="63"/>
      <c r="J103" s="64"/>
      <c r="K103" s="63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59"/>
      <c r="B104" s="60">
        <v>95.0</v>
      </c>
      <c r="C104" s="60" t="s">
        <v>355</v>
      </c>
      <c r="D104" s="60" t="s">
        <v>381</v>
      </c>
      <c r="E104" s="61" t="s">
        <v>382</v>
      </c>
      <c r="F104" s="61" t="s">
        <v>383</v>
      </c>
      <c r="G104" s="61" t="s">
        <v>384</v>
      </c>
      <c r="H104" s="62" t="s">
        <v>88</v>
      </c>
      <c r="I104" s="63"/>
      <c r="J104" s="64"/>
      <c r="K104" s="63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59"/>
      <c r="B105" s="60">
        <v>96.0</v>
      </c>
      <c r="C105" s="60" t="s">
        <v>355</v>
      </c>
      <c r="D105" s="60" t="s">
        <v>385</v>
      </c>
      <c r="E105" s="61" t="s">
        <v>386</v>
      </c>
      <c r="F105" s="61" t="s">
        <v>387</v>
      </c>
      <c r="G105" s="61" t="s">
        <v>388</v>
      </c>
      <c r="H105" s="62" t="s">
        <v>88</v>
      </c>
      <c r="I105" s="63"/>
      <c r="J105" s="64"/>
      <c r="K105" s="63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59"/>
      <c r="B106" s="60">
        <v>97.0</v>
      </c>
      <c r="C106" s="60" t="s">
        <v>355</v>
      </c>
      <c r="D106" s="60" t="s">
        <v>389</v>
      </c>
      <c r="E106" s="61" t="s">
        <v>390</v>
      </c>
      <c r="F106" s="61" t="s">
        <v>391</v>
      </c>
      <c r="G106" s="61" t="s">
        <v>392</v>
      </c>
      <c r="H106" s="62" t="s">
        <v>88</v>
      </c>
      <c r="I106" s="63"/>
      <c r="J106" s="64"/>
      <c r="K106" s="63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59"/>
      <c r="B107" s="60">
        <v>98.0</v>
      </c>
      <c r="C107" s="60" t="s">
        <v>355</v>
      </c>
      <c r="D107" s="60" t="s">
        <v>393</v>
      </c>
      <c r="E107" s="61" t="s">
        <v>394</v>
      </c>
      <c r="F107" s="61" t="s">
        <v>395</v>
      </c>
      <c r="G107" s="61" t="s">
        <v>396</v>
      </c>
      <c r="H107" s="62" t="s">
        <v>88</v>
      </c>
      <c r="I107" s="63"/>
      <c r="J107" s="64"/>
      <c r="K107" s="63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59"/>
      <c r="B108" s="60">
        <v>99.0</v>
      </c>
      <c r="C108" s="60" t="s">
        <v>355</v>
      </c>
      <c r="D108" s="60" t="s">
        <v>397</v>
      </c>
      <c r="E108" s="61" t="s">
        <v>398</v>
      </c>
      <c r="F108" s="61" t="s">
        <v>399</v>
      </c>
      <c r="G108" s="61" t="s">
        <v>400</v>
      </c>
      <c r="H108" s="62" t="s">
        <v>88</v>
      </c>
      <c r="I108" s="63"/>
      <c r="J108" s="64"/>
      <c r="K108" s="63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59"/>
      <c r="B109" s="60">
        <v>100.0</v>
      </c>
      <c r="C109" s="60" t="s">
        <v>355</v>
      </c>
      <c r="D109" s="60" t="s">
        <v>401</v>
      </c>
      <c r="E109" s="61" t="s">
        <v>402</v>
      </c>
      <c r="F109" s="61" t="s">
        <v>403</v>
      </c>
      <c r="G109" s="61" t="s">
        <v>404</v>
      </c>
      <c r="H109" s="62" t="s">
        <v>88</v>
      </c>
      <c r="I109" s="63"/>
      <c r="J109" s="64"/>
      <c r="K109" s="63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9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66"/>
      <c r="C111" s="66"/>
      <c r="D111" s="66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66"/>
      <c r="C112" s="66"/>
      <c r="D112" s="66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66"/>
      <c r="C113" s="66"/>
      <c r="D113" s="66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66"/>
      <c r="C114" s="66"/>
      <c r="D114" s="66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66"/>
      <c r="C115" s="66"/>
      <c r="D115" s="66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66"/>
      <c r="C116" s="66"/>
      <c r="D116" s="66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66"/>
      <c r="C117" s="66"/>
      <c r="D117" s="66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66"/>
      <c r="C118" s="66"/>
      <c r="D118" s="66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66"/>
      <c r="C119" s="66"/>
      <c r="D119" s="66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66"/>
      <c r="C120" s="66"/>
      <c r="D120" s="66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66"/>
      <c r="C121" s="66"/>
      <c r="D121" s="66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66"/>
      <c r="C122" s="66"/>
      <c r="D122" s="66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66"/>
      <c r="C123" s="66"/>
      <c r="D123" s="66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66"/>
      <c r="C124" s="66"/>
      <c r="D124" s="66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66"/>
      <c r="C125" s="66"/>
      <c r="D125" s="66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66"/>
      <c r="C126" s="66"/>
      <c r="D126" s="66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66"/>
      <c r="C127" s="66"/>
      <c r="D127" s="66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66"/>
      <c r="C128" s="66"/>
      <c r="D128" s="66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66"/>
      <c r="C129" s="66"/>
      <c r="D129" s="66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66"/>
      <c r="C130" s="66"/>
      <c r="D130" s="66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66"/>
      <c r="C131" s="66"/>
      <c r="D131" s="66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66"/>
      <c r="C132" s="66"/>
      <c r="D132" s="66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66"/>
      <c r="C133" s="66"/>
      <c r="D133" s="66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66"/>
      <c r="C134" s="66"/>
      <c r="D134" s="66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66"/>
      <c r="C135" s="66"/>
      <c r="D135" s="66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66"/>
      <c r="C136" s="66"/>
      <c r="D136" s="66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66"/>
      <c r="C137" s="66"/>
      <c r="D137" s="66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66"/>
      <c r="C138" s="66"/>
      <c r="D138" s="66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66"/>
      <c r="C139" s="66"/>
      <c r="D139" s="66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66"/>
      <c r="C140" s="66"/>
      <c r="D140" s="66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66"/>
      <c r="C141" s="66"/>
      <c r="D141" s="66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66"/>
      <c r="C142" s="66"/>
      <c r="D142" s="66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66"/>
      <c r="C143" s="66"/>
      <c r="D143" s="66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66"/>
      <c r="C144" s="66"/>
      <c r="D144" s="66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66"/>
      <c r="C145" s="66"/>
      <c r="D145" s="66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66"/>
      <c r="C146" s="66"/>
      <c r="D146" s="66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66"/>
      <c r="C147" s="66"/>
      <c r="D147" s="66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66"/>
      <c r="C148" s="66"/>
      <c r="D148" s="66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66"/>
      <c r="C149" s="66"/>
      <c r="D149" s="66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66"/>
      <c r="C150" s="66"/>
      <c r="D150" s="66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66"/>
      <c r="C151" s="66"/>
      <c r="D151" s="66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66"/>
      <c r="C152" s="66"/>
      <c r="D152" s="66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66"/>
      <c r="C153" s="66"/>
      <c r="D153" s="66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66"/>
      <c r="C154" s="66"/>
      <c r="D154" s="66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66"/>
      <c r="C155" s="66"/>
      <c r="D155" s="66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66"/>
      <c r="C156" s="66"/>
      <c r="D156" s="66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66"/>
      <c r="C157" s="66"/>
      <c r="D157" s="66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66"/>
      <c r="C158" s="66"/>
      <c r="D158" s="66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66"/>
      <c r="C159" s="66"/>
      <c r="D159" s="66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66"/>
      <c r="C160" s="66"/>
      <c r="D160" s="66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66"/>
      <c r="C161" s="66"/>
      <c r="D161" s="66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66"/>
      <c r="C162" s="66"/>
      <c r="D162" s="66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66"/>
      <c r="C163" s="66"/>
      <c r="D163" s="66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66"/>
      <c r="C164" s="66"/>
      <c r="D164" s="66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66"/>
      <c r="C165" s="66"/>
      <c r="D165" s="66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66"/>
      <c r="C166" s="66"/>
      <c r="D166" s="66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66"/>
      <c r="C167" s="66"/>
      <c r="D167" s="66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66"/>
      <c r="C168" s="66"/>
      <c r="D168" s="66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66"/>
      <c r="C169" s="66"/>
      <c r="D169" s="66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66"/>
      <c r="C170" s="66"/>
      <c r="D170" s="66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66"/>
      <c r="C171" s="66"/>
      <c r="D171" s="66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66"/>
      <c r="C172" s="66"/>
      <c r="D172" s="66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66"/>
      <c r="C173" s="66"/>
      <c r="D173" s="66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66"/>
      <c r="C174" s="66"/>
      <c r="D174" s="66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66"/>
      <c r="C175" s="66"/>
      <c r="D175" s="66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66"/>
      <c r="C176" s="66"/>
      <c r="D176" s="66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66"/>
      <c r="C177" s="66"/>
      <c r="D177" s="66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66"/>
      <c r="C178" s="66"/>
      <c r="D178" s="66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66"/>
      <c r="C179" s="66"/>
      <c r="D179" s="66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66"/>
      <c r="C180" s="66"/>
      <c r="D180" s="66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66"/>
      <c r="C181" s="66"/>
      <c r="D181" s="66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66"/>
      <c r="C182" s="66"/>
      <c r="D182" s="66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66"/>
      <c r="C183" s="66"/>
      <c r="D183" s="66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66"/>
      <c r="C184" s="66"/>
      <c r="D184" s="66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66"/>
      <c r="C185" s="66"/>
      <c r="D185" s="66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66"/>
      <c r="C186" s="66"/>
      <c r="D186" s="66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66"/>
      <c r="C187" s="66"/>
      <c r="D187" s="66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66"/>
      <c r="C188" s="66"/>
      <c r="D188" s="66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66"/>
      <c r="C189" s="66"/>
      <c r="D189" s="66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66"/>
      <c r="C190" s="66"/>
      <c r="D190" s="66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66"/>
      <c r="C191" s="66"/>
      <c r="D191" s="66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66"/>
      <c r="C192" s="66"/>
      <c r="D192" s="66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66"/>
      <c r="C193" s="66"/>
      <c r="D193" s="66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66"/>
      <c r="C194" s="66"/>
      <c r="D194" s="66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66"/>
      <c r="C195" s="66"/>
      <c r="D195" s="66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66"/>
      <c r="C196" s="66"/>
      <c r="D196" s="66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66"/>
      <c r="C197" s="66"/>
      <c r="D197" s="66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66"/>
      <c r="C198" s="66"/>
      <c r="D198" s="66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66"/>
      <c r="C199" s="66"/>
      <c r="D199" s="66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66"/>
      <c r="C200" s="66"/>
      <c r="D200" s="66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66"/>
      <c r="C201" s="66"/>
      <c r="D201" s="66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66"/>
      <c r="C202" s="66"/>
      <c r="D202" s="66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66"/>
      <c r="C203" s="66"/>
      <c r="D203" s="66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66"/>
      <c r="C204" s="66"/>
      <c r="D204" s="66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66"/>
      <c r="C205" s="66"/>
      <c r="D205" s="66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66"/>
      <c r="C206" s="66"/>
      <c r="D206" s="66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66"/>
      <c r="C207" s="66"/>
      <c r="D207" s="66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66"/>
      <c r="C208" s="66"/>
      <c r="D208" s="66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66"/>
      <c r="C209" s="66"/>
      <c r="D209" s="66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66"/>
      <c r="C210" s="66"/>
      <c r="D210" s="66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66"/>
      <c r="C211" s="66"/>
      <c r="D211" s="66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66"/>
      <c r="C212" s="66"/>
      <c r="D212" s="66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66"/>
      <c r="C213" s="66"/>
      <c r="D213" s="66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66"/>
      <c r="C214" s="66"/>
      <c r="D214" s="66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66"/>
      <c r="C215" s="66"/>
      <c r="D215" s="66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66"/>
      <c r="C216" s="66"/>
      <c r="D216" s="66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66"/>
      <c r="C217" s="66"/>
      <c r="D217" s="66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66"/>
      <c r="C218" s="66"/>
      <c r="D218" s="66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66"/>
      <c r="C219" s="66"/>
      <c r="D219" s="66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66"/>
      <c r="C220" s="66"/>
      <c r="D220" s="66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66"/>
      <c r="C221" s="66"/>
      <c r="D221" s="66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66"/>
      <c r="C222" s="66"/>
      <c r="D222" s="66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66"/>
      <c r="C223" s="66"/>
      <c r="D223" s="66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66"/>
      <c r="C224" s="66"/>
      <c r="D224" s="66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66"/>
      <c r="C225" s="66"/>
      <c r="D225" s="66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66"/>
      <c r="C226" s="66"/>
      <c r="D226" s="66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66"/>
      <c r="C227" s="66"/>
      <c r="D227" s="66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66"/>
      <c r="C228" s="66"/>
      <c r="D228" s="66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66"/>
      <c r="C229" s="66"/>
      <c r="D229" s="66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66"/>
      <c r="C230" s="66"/>
      <c r="D230" s="66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66"/>
      <c r="C231" s="66"/>
      <c r="D231" s="66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66"/>
      <c r="C232" s="66"/>
      <c r="D232" s="66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66"/>
      <c r="C233" s="66"/>
      <c r="D233" s="66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66"/>
      <c r="C234" s="66"/>
      <c r="D234" s="66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66"/>
      <c r="C235" s="66"/>
      <c r="D235" s="66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66"/>
      <c r="C236" s="66"/>
      <c r="D236" s="66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66"/>
      <c r="C237" s="66"/>
      <c r="D237" s="66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66"/>
      <c r="C238" s="66"/>
      <c r="D238" s="66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66"/>
      <c r="C239" s="66"/>
      <c r="D239" s="66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66"/>
      <c r="C240" s="66"/>
      <c r="D240" s="66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66"/>
      <c r="C241" s="66"/>
      <c r="D241" s="66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66"/>
      <c r="C242" s="66"/>
      <c r="D242" s="66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66"/>
      <c r="C243" s="66"/>
      <c r="D243" s="66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66"/>
      <c r="C244" s="66"/>
      <c r="D244" s="66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66"/>
      <c r="C245" s="66"/>
      <c r="D245" s="66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66"/>
      <c r="C246" s="66"/>
      <c r="D246" s="66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66"/>
      <c r="C247" s="66"/>
      <c r="D247" s="66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66"/>
      <c r="C248" s="66"/>
      <c r="D248" s="66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66"/>
      <c r="C249" s="66"/>
      <c r="D249" s="66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66"/>
      <c r="C250" s="66"/>
      <c r="D250" s="66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66"/>
      <c r="C251" s="66"/>
      <c r="D251" s="66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66"/>
      <c r="C252" s="66"/>
      <c r="D252" s="66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66"/>
      <c r="C253" s="66"/>
      <c r="D253" s="66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66"/>
      <c r="C254" s="66"/>
      <c r="D254" s="66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66"/>
      <c r="C255" s="66"/>
      <c r="D255" s="66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66"/>
      <c r="C256" s="66"/>
      <c r="D256" s="66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66"/>
      <c r="C257" s="66"/>
      <c r="D257" s="66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66"/>
      <c r="C258" s="66"/>
      <c r="D258" s="66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66"/>
      <c r="C259" s="66"/>
      <c r="D259" s="66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66"/>
      <c r="C260" s="66"/>
      <c r="D260" s="66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66"/>
      <c r="C261" s="66"/>
      <c r="D261" s="66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66"/>
      <c r="C262" s="66"/>
      <c r="D262" s="66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66"/>
      <c r="C263" s="66"/>
      <c r="D263" s="66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66"/>
      <c r="C264" s="66"/>
      <c r="D264" s="66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66"/>
      <c r="C265" s="66"/>
      <c r="D265" s="66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66"/>
      <c r="C266" s="66"/>
      <c r="D266" s="66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66"/>
      <c r="C267" s="66"/>
      <c r="D267" s="66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66"/>
      <c r="C268" s="66"/>
      <c r="D268" s="66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66"/>
      <c r="C269" s="66"/>
      <c r="D269" s="66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66"/>
      <c r="C270" s="66"/>
      <c r="D270" s="66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66"/>
      <c r="C271" s="66"/>
      <c r="D271" s="66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66"/>
      <c r="C272" s="66"/>
      <c r="D272" s="66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66"/>
      <c r="C273" s="66"/>
      <c r="D273" s="66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66"/>
      <c r="C274" s="66"/>
      <c r="D274" s="66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66"/>
      <c r="C275" s="66"/>
      <c r="D275" s="66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66"/>
      <c r="C276" s="66"/>
      <c r="D276" s="66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66"/>
      <c r="C277" s="66"/>
      <c r="D277" s="66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66"/>
      <c r="C278" s="66"/>
      <c r="D278" s="66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66"/>
      <c r="C279" s="66"/>
      <c r="D279" s="66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66"/>
      <c r="C280" s="66"/>
      <c r="D280" s="66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66"/>
      <c r="C281" s="66"/>
      <c r="D281" s="66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66"/>
      <c r="C282" s="66"/>
      <c r="D282" s="66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66"/>
      <c r="C283" s="66"/>
      <c r="D283" s="66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66"/>
      <c r="C284" s="66"/>
      <c r="D284" s="66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66"/>
      <c r="C285" s="66"/>
      <c r="D285" s="66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66"/>
      <c r="C286" s="66"/>
      <c r="D286" s="66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66"/>
      <c r="C287" s="66"/>
      <c r="D287" s="66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66"/>
      <c r="C288" s="66"/>
      <c r="D288" s="66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66"/>
      <c r="C289" s="66"/>
      <c r="D289" s="66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66"/>
      <c r="C290" s="66"/>
      <c r="D290" s="66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66"/>
      <c r="C291" s="66"/>
      <c r="D291" s="66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66"/>
      <c r="C292" s="66"/>
      <c r="D292" s="66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66"/>
      <c r="C293" s="66"/>
      <c r="D293" s="66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66"/>
      <c r="C294" s="66"/>
      <c r="D294" s="66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66"/>
      <c r="C295" s="66"/>
      <c r="D295" s="66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66"/>
      <c r="C296" s="66"/>
      <c r="D296" s="66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66"/>
      <c r="C297" s="66"/>
      <c r="D297" s="66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66"/>
      <c r="C298" s="66"/>
      <c r="D298" s="66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66"/>
      <c r="C299" s="66"/>
      <c r="D299" s="66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66"/>
      <c r="C300" s="66"/>
      <c r="D300" s="66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66"/>
      <c r="C301" s="66"/>
      <c r="D301" s="66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66"/>
      <c r="C302" s="66"/>
      <c r="D302" s="66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66"/>
      <c r="C303" s="66"/>
      <c r="D303" s="66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66"/>
      <c r="C304" s="66"/>
      <c r="D304" s="66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66"/>
      <c r="C305" s="66"/>
      <c r="D305" s="66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66"/>
      <c r="C306" s="66"/>
      <c r="D306" s="66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66"/>
      <c r="C307" s="66"/>
      <c r="D307" s="66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66"/>
      <c r="C308" s="66"/>
      <c r="D308" s="66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66"/>
      <c r="C309" s="66"/>
      <c r="D309" s="66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66"/>
      <c r="C310" s="66"/>
      <c r="D310" s="66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66"/>
      <c r="C311" s="66"/>
      <c r="D311" s="66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66"/>
      <c r="C312" s="66"/>
      <c r="D312" s="66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66"/>
      <c r="C313" s="66"/>
      <c r="D313" s="66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66"/>
      <c r="C314" s="66"/>
      <c r="D314" s="66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66"/>
      <c r="C315" s="66"/>
      <c r="D315" s="66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66"/>
      <c r="C316" s="66"/>
      <c r="D316" s="66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66"/>
      <c r="C317" s="66"/>
      <c r="D317" s="66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66"/>
      <c r="C318" s="66"/>
      <c r="D318" s="66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66"/>
      <c r="C319" s="66"/>
      <c r="D319" s="66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66"/>
      <c r="C320" s="66"/>
      <c r="D320" s="66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66"/>
      <c r="C321" s="66"/>
      <c r="D321" s="66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66"/>
      <c r="C322" s="66"/>
      <c r="D322" s="66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66"/>
      <c r="C323" s="66"/>
      <c r="D323" s="66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66"/>
      <c r="C324" s="66"/>
      <c r="D324" s="66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66"/>
      <c r="C325" s="66"/>
      <c r="D325" s="66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66"/>
      <c r="C326" s="66"/>
      <c r="D326" s="66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66"/>
      <c r="C327" s="66"/>
      <c r="D327" s="66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66"/>
      <c r="C328" s="66"/>
      <c r="D328" s="66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66"/>
      <c r="C329" s="66"/>
      <c r="D329" s="66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66"/>
      <c r="C330" s="66"/>
      <c r="D330" s="66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66"/>
      <c r="C331" s="66"/>
      <c r="D331" s="66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66"/>
      <c r="C332" s="66"/>
      <c r="D332" s="66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66"/>
      <c r="C333" s="66"/>
      <c r="D333" s="66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66"/>
      <c r="C334" s="66"/>
      <c r="D334" s="66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66"/>
      <c r="C335" s="66"/>
      <c r="D335" s="66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66"/>
      <c r="C336" s="66"/>
      <c r="D336" s="66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66"/>
      <c r="C337" s="66"/>
      <c r="D337" s="66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66"/>
      <c r="C338" s="66"/>
      <c r="D338" s="66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66"/>
      <c r="C339" s="66"/>
      <c r="D339" s="66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66"/>
      <c r="C340" s="66"/>
      <c r="D340" s="66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66"/>
      <c r="C341" s="66"/>
      <c r="D341" s="66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66"/>
      <c r="C342" s="66"/>
      <c r="D342" s="66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66"/>
      <c r="C343" s="66"/>
      <c r="D343" s="66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66"/>
      <c r="C344" s="66"/>
      <c r="D344" s="66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66"/>
      <c r="C345" s="66"/>
      <c r="D345" s="66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66"/>
      <c r="C346" s="66"/>
      <c r="D346" s="66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66"/>
      <c r="C347" s="66"/>
      <c r="D347" s="66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66"/>
      <c r="C348" s="66"/>
      <c r="D348" s="66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66"/>
      <c r="C349" s="66"/>
      <c r="D349" s="66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66"/>
      <c r="C350" s="66"/>
      <c r="D350" s="66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66"/>
      <c r="C351" s="66"/>
      <c r="D351" s="66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66"/>
      <c r="C352" s="66"/>
      <c r="D352" s="66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66"/>
      <c r="C353" s="66"/>
      <c r="D353" s="66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66"/>
      <c r="C354" s="66"/>
      <c r="D354" s="66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66"/>
      <c r="C355" s="66"/>
      <c r="D355" s="66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66"/>
      <c r="C356" s="66"/>
      <c r="D356" s="66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66"/>
      <c r="C357" s="66"/>
      <c r="D357" s="66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66"/>
      <c r="C358" s="66"/>
      <c r="D358" s="66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66"/>
      <c r="C359" s="66"/>
      <c r="D359" s="66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66"/>
      <c r="C360" s="66"/>
      <c r="D360" s="66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66"/>
      <c r="C361" s="66"/>
      <c r="D361" s="66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66"/>
      <c r="C362" s="66"/>
      <c r="D362" s="66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66"/>
      <c r="C363" s="66"/>
      <c r="D363" s="66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66"/>
      <c r="C364" s="66"/>
      <c r="D364" s="66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66"/>
      <c r="C365" s="66"/>
      <c r="D365" s="66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66"/>
      <c r="C366" s="66"/>
      <c r="D366" s="66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66"/>
      <c r="C367" s="66"/>
      <c r="D367" s="66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66"/>
      <c r="C368" s="66"/>
      <c r="D368" s="66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66"/>
      <c r="C369" s="66"/>
      <c r="D369" s="66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66"/>
      <c r="C370" s="66"/>
      <c r="D370" s="66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66"/>
      <c r="C371" s="66"/>
      <c r="D371" s="66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66"/>
      <c r="C372" s="66"/>
      <c r="D372" s="66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66"/>
      <c r="C373" s="66"/>
      <c r="D373" s="66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66"/>
      <c r="C374" s="66"/>
      <c r="D374" s="66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66"/>
      <c r="C375" s="66"/>
      <c r="D375" s="66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66"/>
      <c r="C376" s="66"/>
      <c r="D376" s="66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66"/>
      <c r="C377" s="66"/>
      <c r="D377" s="66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66"/>
      <c r="C378" s="66"/>
      <c r="D378" s="66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66"/>
      <c r="C379" s="66"/>
      <c r="D379" s="66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66"/>
      <c r="C380" s="66"/>
      <c r="D380" s="66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66"/>
      <c r="C381" s="66"/>
      <c r="D381" s="66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66"/>
      <c r="C382" s="66"/>
      <c r="D382" s="66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66"/>
      <c r="C383" s="66"/>
      <c r="D383" s="66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66"/>
      <c r="C384" s="66"/>
      <c r="D384" s="66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66"/>
      <c r="C385" s="66"/>
      <c r="D385" s="66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66"/>
      <c r="C386" s="66"/>
      <c r="D386" s="66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66"/>
      <c r="C387" s="66"/>
      <c r="D387" s="66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66"/>
      <c r="C388" s="66"/>
      <c r="D388" s="66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66"/>
      <c r="C389" s="66"/>
      <c r="D389" s="66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66"/>
      <c r="C390" s="66"/>
      <c r="D390" s="66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66"/>
      <c r="C391" s="66"/>
      <c r="D391" s="66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66"/>
      <c r="C392" s="66"/>
      <c r="D392" s="66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66"/>
      <c r="C393" s="66"/>
      <c r="D393" s="66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66"/>
      <c r="C394" s="66"/>
      <c r="D394" s="66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66"/>
      <c r="C395" s="66"/>
      <c r="D395" s="66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66"/>
      <c r="C396" s="66"/>
      <c r="D396" s="66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66"/>
      <c r="C397" s="66"/>
      <c r="D397" s="66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66"/>
      <c r="C398" s="66"/>
      <c r="D398" s="66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66"/>
      <c r="C399" s="66"/>
      <c r="D399" s="66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66"/>
      <c r="C400" s="66"/>
      <c r="D400" s="66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66"/>
      <c r="C401" s="66"/>
      <c r="D401" s="66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66"/>
      <c r="C402" s="66"/>
      <c r="D402" s="66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66"/>
      <c r="C403" s="66"/>
      <c r="D403" s="66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66"/>
      <c r="C404" s="66"/>
      <c r="D404" s="66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66"/>
      <c r="C405" s="66"/>
      <c r="D405" s="66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66"/>
      <c r="C406" s="66"/>
      <c r="D406" s="66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66"/>
      <c r="C407" s="66"/>
      <c r="D407" s="66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66"/>
      <c r="C408" s="66"/>
      <c r="D408" s="66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66"/>
      <c r="C409" s="66"/>
      <c r="D409" s="66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66"/>
      <c r="C410" s="66"/>
      <c r="D410" s="66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66"/>
      <c r="C411" s="66"/>
      <c r="D411" s="66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66"/>
      <c r="C412" s="66"/>
      <c r="D412" s="66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66"/>
      <c r="C413" s="66"/>
      <c r="D413" s="66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66"/>
      <c r="C414" s="66"/>
      <c r="D414" s="66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66"/>
      <c r="C415" s="66"/>
      <c r="D415" s="66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66"/>
      <c r="C416" s="66"/>
      <c r="D416" s="66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66"/>
      <c r="C417" s="66"/>
      <c r="D417" s="66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66"/>
      <c r="C418" s="66"/>
      <c r="D418" s="66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66"/>
      <c r="C419" s="66"/>
      <c r="D419" s="66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66"/>
      <c r="C420" s="66"/>
      <c r="D420" s="66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66"/>
      <c r="C421" s="66"/>
      <c r="D421" s="66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66"/>
      <c r="C422" s="66"/>
      <c r="D422" s="66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66"/>
      <c r="C423" s="66"/>
      <c r="D423" s="66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66"/>
      <c r="C424" s="66"/>
      <c r="D424" s="66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66"/>
      <c r="C425" s="66"/>
      <c r="D425" s="66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66"/>
      <c r="C426" s="66"/>
      <c r="D426" s="66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66"/>
      <c r="C427" s="66"/>
      <c r="D427" s="66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66"/>
      <c r="C428" s="66"/>
      <c r="D428" s="66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66"/>
      <c r="C429" s="66"/>
      <c r="D429" s="66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66"/>
      <c r="C430" s="66"/>
      <c r="D430" s="66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66"/>
      <c r="C431" s="66"/>
      <c r="D431" s="66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66"/>
      <c r="C432" s="66"/>
      <c r="D432" s="66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66"/>
      <c r="C433" s="66"/>
      <c r="D433" s="66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66"/>
      <c r="C434" s="66"/>
      <c r="D434" s="66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66"/>
      <c r="C435" s="66"/>
      <c r="D435" s="66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66"/>
      <c r="C436" s="66"/>
      <c r="D436" s="66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66"/>
      <c r="C437" s="66"/>
      <c r="D437" s="66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66"/>
      <c r="C438" s="66"/>
      <c r="D438" s="66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66"/>
      <c r="C439" s="66"/>
      <c r="D439" s="66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66"/>
      <c r="C440" s="66"/>
      <c r="D440" s="66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66"/>
      <c r="C441" s="66"/>
      <c r="D441" s="66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66"/>
      <c r="C442" s="66"/>
      <c r="D442" s="66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66"/>
      <c r="C443" s="66"/>
      <c r="D443" s="66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66"/>
      <c r="C444" s="66"/>
      <c r="D444" s="66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66"/>
      <c r="C445" s="66"/>
      <c r="D445" s="66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66"/>
      <c r="C446" s="66"/>
      <c r="D446" s="66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66"/>
      <c r="C447" s="66"/>
      <c r="D447" s="66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66"/>
      <c r="C448" s="66"/>
      <c r="D448" s="66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66"/>
      <c r="C449" s="66"/>
      <c r="D449" s="66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66"/>
      <c r="C450" s="66"/>
      <c r="D450" s="66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66"/>
      <c r="C451" s="66"/>
      <c r="D451" s="66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66"/>
      <c r="C452" s="66"/>
      <c r="D452" s="66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66"/>
      <c r="C453" s="66"/>
      <c r="D453" s="66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66"/>
      <c r="C454" s="66"/>
      <c r="D454" s="66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66"/>
      <c r="C455" s="66"/>
      <c r="D455" s="66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66"/>
      <c r="C456" s="66"/>
      <c r="D456" s="66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66"/>
      <c r="C457" s="66"/>
      <c r="D457" s="66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66"/>
      <c r="C458" s="66"/>
      <c r="D458" s="66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66"/>
      <c r="C459" s="66"/>
      <c r="D459" s="66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66"/>
      <c r="C460" s="66"/>
      <c r="D460" s="66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66"/>
      <c r="C461" s="66"/>
      <c r="D461" s="66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66"/>
      <c r="C462" s="66"/>
      <c r="D462" s="66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66"/>
      <c r="C463" s="66"/>
      <c r="D463" s="66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66"/>
      <c r="C464" s="66"/>
      <c r="D464" s="66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66"/>
      <c r="C465" s="66"/>
      <c r="D465" s="66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66"/>
      <c r="C466" s="66"/>
      <c r="D466" s="66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66"/>
      <c r="C467" s="66"/>
      <c r="D467" s="66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66"/>
      <c r="C468" s="66"/>
      <c r="D468" s="66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66"/>
      <c r="C469" s="66"/>
      <c r="D469" s="66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66"/>
      <c r="C470" s="66"/>
      <c r="D470" s="66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66"/>
      <c r="C471" s="66"/>
      <c r="D471" s="66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66"/>
      <c r="C472" s="66"/>
      <c r="D472" s="66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66"/>
      <c r="C473" s="66"/>
      <c r="D473" s="66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66"/>
      <c r="C474" s="66"/>
      <c r="D474" s="66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66"/>
      <c r="C475" s="66"/>
      <c r="D475" s="66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66"/>
      <c r="C476" s="66"/>
      <c r="D476" s="66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66"/>
      <c r="C477" s="66"/>
      <c r="D477" s="66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66"/>
      <c r="C478" s="66"/>
      <c r="D478" s="66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66"/>
      <c r="C479" s="66"/>
      <c r="D479" s="66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66"/>
      <c r="C480" s="66"/>
      <c r="D480" s="66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66"/>
      <c r="C481" s="66"/>
      <c r="D481" s="66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66"/>
      <c r="C482" s="66"/>
      <c r="D482" s="66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66"/>
      <c r="C483" s="66"/>
      <c r="D483" s="66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66"/>
      <c r="C484" s="66"/>
      <c r="D484" s="66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66"/>
      <c r="C485" s="66"/>
      <c r="D485" s="66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66"/>
      <c r="C486" s="66"/>
      <c r="D486" s="66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66"/>
      <c r="C487" s="66"/>
      <c r="D487" s="66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66"/>
      <c r="C488" s="66"/>
      <c r="D488" s="66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66"/>
      <c r="C489" s="66"/>
      <c r="D489" s="66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66"/>
      <c r="C490" s="66"/>
      <c r="D490" s="66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66"/>
      <c r="C491" s="66"/>
      <c r="D491" s="66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66"/>
      <c r="C492" s="66"/>
      <c r="D492" s="66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66"/>
      <c r="C493" s="66"/>
      <c r="D493" s="66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66"/>
      <c r="C494" s="66"/>
      <c r="D494" s="66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66"/>
      <c r="C495" s="66"/>
      <c r="D495" s="66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66"/>
      <c r="C496" s="66"/>
      <c r="D496" s="66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66"/>
      <c r="C497" s="66"/>
      <c r="D497" s="66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66"/>
      <c r="C498" s="66"/>
      <c r="D498" s="66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66"/>
      <c r="C499" s="66"/>
      <c r="D499" s="66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66"/>
      <c r="C500" s="66"/>
      <c r="D500" s="66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66"/>
      <c r="C501" s="66"/>
      <c r="D501" s="66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66"/>
      <c r="C502" s="66"/>
      <c r="D502" s="66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66"/>
      <c r="C503" s="66"/>
      <c r="D503" s="66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66"/>
      <c r="C504" s="66"/>
      <c r="D504" s="66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66"/>
      <c r="C505" s="66"/>
      <c r="D505" s="66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66"/>
      <c r="C506" s="66"/>
      <c r="D506" s="66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66"/>
      <c r="C507" s="66"/>
      <c r="D507" s="66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66"/>
      <c r="C508" s="66"/>
      <c r="D508" s="66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66"/>
      <c r="C509" s="66"/>
      <c r="D509" s="66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66"/>
      <c r="C510" s="66"/>
      <c r="D510" s="66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66"/>
      <c r="C511" s="66"/>
      <c r="D511" s="66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66"/>
      <c r="C512" s="66"/>
      <c r="D512" s="66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66"/>
      <c r="C513" s="66"/>
      <c r="D513" s="66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66"/>
      <c r="C514" s="66"/>
      <c r="D514" s="66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66"/>
      <c r="C515" s="66"/>
      <c r="D515" s="66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66"/>
      <c r="C516" s="66"/>
      <c r="D516" s="66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66"/>
      <c r="C517" s="66"/>
      <c r="D517" s="66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66"/>
      <c r="C518" s="66"/>
      <c r="D518" s="66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66"/>
      <c r="C519" s="66"/>
      <c r="D519" s="66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66"/>
      <c r="C520" s="66"/>
      <c r="D520" s="66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66"/>
      <c r="C521" s="66"/>
      <c r="D521" s="66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66"/>
      <c r="C522" s="66"/>
      <c r="D522" s="66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66"/>
      <c r="C523" s="66"/>
      <c r="D523" s="66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66"/>
      <c r="C524" s="66"/>
      <c r="D524" s="66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66"/>
      <c r="C525" s="66"/>
      <c r="D525" s="66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66"/>
      <c r="C526" s="66"/>
      <c r="D526" s="66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66"/>
      <c r="C527" s="66"/>
      <c r="D527" s="66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66"/>
      <c r="C528" s="66"/>
      <c r="D528" s="66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66"/>
      <c r="C529" s="66"/>
      <c r="D529" s="66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66"/>
      <c r="C530" s="66"/>
      <c r="D530" s="66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66"/>
      <c r="C531" s="66"/>
      <c r="D531" s="66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66"/>
      <c r="C532" s="66"/>
      <c r="D532" s="66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66"/>
      <c r="C533" s="66"/>
      <c r="D533" s="66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66"/>
      <c r="C534" s="66"/>
      <c r="D534" s="66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66"/>
      <c r="C535" s="66"/>
      <c r="D535" s="66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66"/>
      <c r="C536" s="66"/>
      <c r="D536" s="66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66"/>
      <c r="C537" s="66"/>
      <c r="D537" s="66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66"/>
      <c r="C538" s="66"/>
      <c r="D538" s="66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66"/>
      <c r="C539" s="66"/>
      <c r="D539" s="66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66"/>
      <c r="C540" s="66"/>
      <c r="D540" s="66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66"/>
      <c r="C541" s="66"/>
      <c r="D541" s="66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66"/>
      <c r="C542" s="66"/>
      <c r="D542" s="66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66"/>
      <c r="C543" s="66"/>
      <c r="D543" s="66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66"/>
      <c r="C544" s="66"/>
      <c r="D544" s="66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66"/>
      <c r="C545" s="66"/>
      <c r="D545" s="66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66"/>
      <c r="C546" s="66"/>
      <c r="D546" s="66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66"/>
      <c r="C547" s="66"/>
      <c r="D547" s="66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66"/>
      <c r="C548" s="66"/>
      <c r="D548" s="66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66"/>
      <c r="C549" s="66"/>
      <c r="D549" s="66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66"/>
      <c r="C550" s="66"/>
      <c r="D550" s="66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66"/>
      <c r="C551" s="66"/>
      <c r="D551" s="66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66"/>
      <c r="C552" s="66"/>
      <c r="D552" s="66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66"/>
      <c r="C553" s="66"/>
      <c r="D553" s="66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66"/>
      <c r="C554" s="66"/>
      <c r="D554" s="66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66"/>
      <c r="C555" s="66"/>
      <c r="D555" s="66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66"/>
      <c r="C556" s="66"/>
      <c r="D556" s="66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66"/>
      <c r="C557" s="66"/>
      <c r="D557" s="66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66"/>
      <c r="C558" s="66"/>
      <c r="D558" s="66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66"/>
      <c r="C559" s="66"/>
      <c r="D559" s="66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66"/>
      <c r="C560" s="66"/>
      <c r="D560" s="66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66"/>
      <c r="C561" s="66"/>
      <c r="D561" s="66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66"/>
      <c r="C562" s="66"/>
      <c r="D562" s="66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66"/>
      <c r="C563" s="66"/>
      <c r="D563" s="66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66"/>
      <c r="C564" s="66"/>
      <c r="D564" s="66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66"/>
      <c r="C565" s="66"/>
      <c r="D565" s="66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66"/>
      <c r="C566" s="66"/>
      <c r="D566" s="66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66"/>
      <c r="C567" s="66"/>
      <c r="D567" s="66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66"/>
      <c r="C568" s="66"/>
      <c r="D568" s="66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66"/>
      <c r="C569" s="66"/>
      <c r="D569" s="66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66"/>
      <c r="C570" s="66"/>
      <c r="D570" s="66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66"/>
      <c r="C571" s="66"/>
      <c r="D571" s="66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66"/>
      <c r="C572" s="66"/>
      <c r="D572" s="66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66"/>
      <c r="C573" s="66"/>
      <c r="D573" s="66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66"/>
      <c r="C574" s="66"/>
      <c r="D574" s="66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66"/>
      <c r="C575" s="66"/>
      <c r="D575" s="66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66"/>
      <c r="C576" s="66"/>
      <c r="D576" s="66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66"/>
      <c r="C577" s="66"/>
      <c r="D577" s="66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66"/>
      <c r="C578" s="66"/>
      <c r="D578" s="66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66"/>
      <c r="C579" s="66"/>
      <c r="D579" s="66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66"/>
      <c r="C580" s="66"/>
      <c r="D580" s="66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66"/>
      <c r="C581" s="66"/>
      <c r="D581" s="66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66"/>
      <c r="C582" s="66"/>
      <c r="D582" s="66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66"/>
      <c r="C583" s="66"/>
      <c r="D583" s="66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66"/>
      <c r="C584" s="66"/>
      <c r="D584" s="66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66"/>
      <c r="C585" s="66"/>
      <c r="D585" s="66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66"/>
      <c r="C586" s="66"/>
      <c r="D586" s="66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66"/>
      <c r="C587" s="66"/>
      <c r="D587" s="66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66"/>
      <c r="C588" s="66"/>
      <c r="D588" s="66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66"/>
      <c r="C589" s="66"/>
      <c r="D589" s="66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66"/>
      <c r="C590" s="66"/>
      <c r="D590" s="66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66"/>
      <c r="C591" s="66"/>
      <c r="D591" s="66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66"/>
      <c r="C592" s="66"/>
      <c r="D592" s="66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66"/>
      <c r="C593" s="66"/>
      <c r="D593" s="66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66"/>
      <c r="C594" s="66"/>
      <c r="D594" s="66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66"/>
      <c r="C595" s="66"/>
      <c r="D595" s="66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66"/>
      <c r="C596" s="66"/>
      <c r="D596" s="66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66"/>
      <c r="C597" s="66"/>
      <c r="D597" s="66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66"/>
      <c r="C598" s="66"/>
      <c r="D598" s="66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66"/>
      <c r="C599" s="66"/>
      <c r="D599" s="66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66"/>
      <c r="C600" s="66"/>
      <c r="D600" s="66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66"/>
      <c r="C601" s="66"/>
      <c r="D601" s="66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66"/>
      <c r="C602" s="66"/>
      <c r="D602" s="66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66"/>
      <c r="C603" s="66"/>
      <c r="D603" s="66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66"/>
      <c r="C604" s="66"/>
      <c r="D604" s="66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66"/>
      <c r="C605" s="66"/>
      <c r="D605" s="66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66"/>
      <c r="C606" s="66"/>
      <c r="D606" s="66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66"/>
      <c r="C607" s="66"/>
      <c r="D607" s="66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66"/>
      <c r="C608" s="66"/>
      <c r="D608" s="66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66"/>
      <c r="C609" s="66"/>
      <c r="D609" s="66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66"/>
      <c r="C610" s="66"/>
      <c r="D610" s="66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66"/>
      <c r="C611" s="66"/>
      <c r="D611" s="66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66"/>
      <c r="C612" s="66"/>
      <c r="D612" s="66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66"/>
      <c r="C613" s="66"/>
      <c r="D613" s="66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66"/>
      <c r="C614" s="66"/>
      <c r="D614" s="66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66"/>
      <c r="C615" s="66"/>
      <c r="D615" s="66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66"/>
      <c r="C616" s="66"/>
      <c r="D616" s="66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66"/>
      <c r="C617" s="66"/>
      <c r="D617" s="66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66"/>
      <c r="C618" s="66"/>
      <c r="D618" s="66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66"/>
      <c r="C619" s="66"/>
      <c r="D619" s="66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66"/>
      <c r="C620" s="66"/>
      <c r="D620" s="66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66"/>
      <c r="C621" s="66"/>
      <c r="D621" s="66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66"/>
      <c r="C622" s="66"/>
      <c r="D622" s="66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66"/>
      <c r="C623" s="66"/>
      <c r="D623" s="66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66"/>
      <c r="C624" s="66"/>
      <c r="D624" s="66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66"/>
      <c r="C625" s="66"/>
      <c r="D625" s="66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66"/>
      <c r="C626" s="66"/>
      <c r="D626" s="66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66"/>
      <c r="C627" s="66"/>
      <c r="D627" s="66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66"/>
      <c r="C628" s="66"/>
      <c r="D628" s="66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66"/>
      <c r="C629" s="66"/>
      <c r="D629" s="66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66"/>
      <c r="C630" s="66"/>
      <c r="D630" s="66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66"/>
      <c r="C631" s="66"/>
      <c r="D631" s="66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66"/>
      <c r="C632" s="66"/>
      <c r="D632" s="66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66"/>
      <c r="C633" s="66"/>
      <c r="D633" s="66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66"/>
      <c r="C634" s="66"/>
      <c r="D634" s="66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66"/>
      <c r="C635" s="66"/>
      <c r="D635" s="66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66"/>
      <c r="C636" s="66"/>
      <c r="D636" s="66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66"/>
      <c r="C637" s="66"/>
      <c r="D637" s="66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66"/>
      <c r="C638" s="66"/>
      <c r="D638" s="66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66"/>
      <c r="C639" s="66"/>
      <c r="D639" s="66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66"/>
      <c r="C640" s="66"/>
      <c r="D640" s="66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66"/>
      <c r="C641" s="66"/>
      <c r="D641" s="66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66"/>
      <c r="C642" s="66"/>
      <c r="D642" s="66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66"/>
      <c r="C643" s="66"/>
      <c r="D643" s="66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66"/>
      <c r="C644" s="66"/>
      <c r="D644" s="66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66"/>
      <c r="C645" s="66"/>
      <c r="D645" s="66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66"/>
      <c r="C646" s="66"/>
      <c r="D646" s="66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66"/>
      <c r="C647" s="66"/>
      <c r="D647" s="66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66"/>
      <c r="C648" s="66"/>
      <c r="D648" s="66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66"/>
      <c r="C649" s="66"/>
      <c r="D649" s="66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66"/>
      <c r="C650" s="66"/>
      <c r="D650" s="66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66"/>
      <c r="C651" s="66"/>
      <c r="D651" s="66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66"/>
      <c r="C652" s="66"/>
      <c r="D652" s="66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66"/>
      <c r="C653" s="66"/>
      <c r="D653" s="66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66"/>
      <c r="C654" s="66"/>
      <c r="D654" s="66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66"/>
      <c r="C655" s="66"/>
      <c r="D655" s="66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66"/>
      <c r="C656" s="66"/>
      <c r="D656" s="66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66"/>
      <c r="C657" s="66"/>
      <c r="D657" s="66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66"/>
      <c r="C658" s="66"/>
      <c r="D658" s="66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66"/>
      <c r="C659" s="66"/>
      <c r="D659" s="66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66"/>
      <c r="C660" s="66"/>
      <c r="D660" s="66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66"/>
      <c r="C661" s="66"/>
      <c r="D661" s="66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66"/>
      <c r="C662" s="66"/>
      <c r="D662" s="66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66"/>
      <c r="C663" s="66"/>
      <c r="D663" s="66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66"/>
      <c r="C664" s="66"/>
      <c r="D664" s="66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66"/>
      <c r="C665" s="66"/>
      <c r="D665" s="66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66"/>
      <c r="C666" s="66"/>
      <c r="D666" s="66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66"/>
      <c r="C667" s="66"/>
      <c r="D667" s="66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66"/>
      <c r="C668" s="66"/>
      <c r="D668" s="66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66"/>
      <c r="C669" s="66"/>
      <c r="D669" s="66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66"/>
      <c r="C670" s="66"/>
      <c r="D670" s="66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66"/>
      <c r="C671" s="66"/>
      <c r="D671" s="66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66"/>
      <c r="C672" s="66"/>
      <c r="D672" s="66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66"/>
      <c r="C673" s="66"/>
      <c r="D673" s="66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66"/>
      <c r="C674" s="66"/>
      <c r="D674" s="66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66"/>
      <c r="C675" s="66"/>
      <c r="D675" s="66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66"/>
      <c r="C676" s="66"/>
      <c r="D676" s="66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66"/>
      <c r="C677" s="66"/>
      <c r="D677" s="66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66"/>
      <c r="C678" s="66"/>
      <c r="D678" s="66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66"/>
      <c r="C679" s="66"/>
      <c r="D679" s="66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66"/>
      <c r="C680" s="66"/>
      <c r="D680" s="66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66"/>
      <c r="C681" s="66"/>
      <c r="D681" s="66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66"/>
      <c r="C682" s="66"/>
      <c r="D682" s="66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66"/>
      <c r="C683" s="66"/>
      <c r="D683" s="66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66"/>
      <c r="C684" s="66"/>
      <c r="D684" s="66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66"/>
      <c r="C685" s="66"/>
      <c r="D685" s="66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66"/>
      <c r="C686" s="66"/>
      <c r="D686" s="66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66"/>
      <c r="C687" s="66"/>
      <c r="D687" s="66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66"/>
      <c r="C688" s="66"/>
      <c r="D688" s="66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66"/>
      <c r="C689" s="66"/>
      <c r="D689" s="66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66"/>
      <c r="C690" s="66"/>
      <c r="D690" s="66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66"/>
      <c r="C691" s="66"/>
      <c r="D691" s="66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66"/>
      <c r="C692" s="66"/>
      <c r="D692" s="66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66"/>
      <c r="C693" s="66"/>
      <c r="D693" s="66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66"/>
      <c r="C694" s="66"/>
      <c r="D694" s="66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66"/>
      <c r="C695" s="66"/>
      <c r="D695" s="66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66"/>
      <c r="C696" s="66"/>
      <c r="D696" s="66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66"/>
      <c r="C697" s="66"/>
      <c r="D697" s="66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66"/>
      <c r="C698" s="66"/>
      <c r="D698" s="66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66"/>
      <c r="C699" s="66"/>
      <c r="D699" s="66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66"/>
      <c r="C700" s="66"/>
      <c r="D700" s="66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66"/>
      <c r="C701" s="66"/>
      <c r="D701" s="66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66"/>
      <c r="C702" s="66"/>
      <c r="D702" s="66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66"/>
      <c r="C703" s="66"/>
      <c r="D703" s="66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66"/>
      <c r="C704" s="66"/>
      <c r="D704" s="66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66"/>
      <c r="C705" s="66"/>
      <c r="D705" s="66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66"/>
      <c r="C706" s="66"/>
      <c r="D706" s="66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66"/>
      <c r="C707" s="66"/>
      <c r="D707" s="66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66"/>
      <c r="C708" s="66"/>
      <c r="D708" s="66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66"/>
      <c r="C709" s="66"/>
      <c r="D709" s="66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66"/>
      <c r="C710" s="66"/>
      <c r="D710" s="66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66"/>
      <c r="C711" s="66"/>
      <c r="D711" s="66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66"/>
      <c r="C712" s="66"/>
      <c r="D712" s="66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66"/>
      <c r="C713" s="66"/>
      <c r="D713" s="66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66"/>
      <c r="C714" s="66"/>
      <c r="D714" s="66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66"/>
      <c r="C715" s="66"/>
      <c r="D715" s="66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66"/>
      <c r="C716" s="66"/>
      <c r="D716" s="66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66"/>
      <c r="C717" s="66"/>
      <c r="D717" s="66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66"/>
      <c r="C718" s="66"/>
      <c r="D718" s="66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66"/>
      <c r="C719" s="66"/>
      <c r="D719" s="66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66"/>
      <c r="C720" s="66"/>
      <c r="D720" s="66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66"/>
      <c r="C721" s="66"/>
      <c r="D721" s="66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66"/>
      <c r="C722" s="66"/>
      <c r="D722" s="66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66"/>
      <c r="C723" s="66"/>
      <c r="D723" s="66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66"/>
      <c r="C724" s="66"/>
      <c r="D724" s="66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66"/>
      <c r="C725" s="66"/>
      <c r="D725" s="66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66"/>
      <c r="C726" s="66"/>
      <c r="D726" s="66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66"/>
      <c r="C727" s="66"/>
      <c r="D727" s="66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66"/>
      <c r="C728" s="66"/>
      <c r="D728" s="66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66"/>
      <c r="C729" s="66"/>
      <c r="D729" s="66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66"/>
      <c r="C730" s="66"/>
      <c r="D730" s="66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66"/>
      <c r="C731" s="66"/>
      <c r="D731" s="66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66"/>
      <c r="C732" s="66"/>
      <c r="D732" s="66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66"/>
      <c r="C733" s="66"/>
      <c r="D733" s="66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66"/>
      <c r="C734" s="66"/>
      <c r="D734" s="66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66"/>
      <c r="C735" s="66"/>
      <c r="D735" s="66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66"/>
      <c r="C736" s="66"/>
      <c r="D736" s="66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66"/>
      <c r="C737" s="66"/>
      <c r="D737" s="66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66"/>
      <c r="C738" s="66"/>
      <c r="D738" s="66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66"/>
      <c r="C739" s="66"/>
      <c r="D739" s="66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66"/>
      <c r="C740" s="66"/>
      <c r="D740" s="66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66"/>
      <c r="C741" s="66"/>
      <c r="D741" s="66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66"/>
      <c r="C742" s="66"/>
      <c r="D742" s="66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66"/>
      <c r="C743" s="66"/>
      <c r="D743" s="66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66"/>
      <c r="C744" s="66"/>
      <c r="D744" s="66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66"/>
      <c r="C745" s="66"/>
      <c r="D745" s="66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66"/>
      <c r="C746" s="66"/>
      <c r="D746" s="66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66"/>
      <c r="C747" s="66"/>
      <c r="D747" s="66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66"/>
      <c r="C748" s="66"/>
      <c r="D748" s="66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66"/>
      <c r="C749" s="66"/>
      <c r="D749" s="66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66"/>
      <c r="C750" s="66"/>
      <c r="D750" s="66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66"/>
      <c r="C751" s="66"/>
      <c r="D751" s="66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66"/>
      <c r="C752" s="66"/>
      <c r="D752" s="66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66"/>
      <c r="C753" s="66"/>
      <c r="D753" s="66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66"/>
      <c r="C754" s="66"/>
      <c r="D754" s="66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66"/>
      <c r="C755" s="66"/>
      <c r="D755" s="66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66"/>
      <c r="C756" s="66"/>
      <c r="D756" s="66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66"/>
      <c r="C757" s="66"/>
      <c r="D757" s="66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66"/>
      <c r="C758" s="66"/>
      <c r="D758" s="66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66"/>
      <c r="C759" s="66"/>
      <c r="D759" s="66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66"/>
      <c r="C760" s="66"/>
      <c r="D760" s="66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66"/>
      <c r="C761" s="66"/>
      <c r="D761" s="66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66"/>
      <c r="C762" s="66"/>
      <c r="D762" s="66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66"/>
      <c r="C763" s="66"/>
      <c r="D763" s="66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66"/>
      <c r="C764" s="66"/>
      <c r="D764" s="66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66"/>
      <c r="C765" s="66"/>
      <c r="D765" s="66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66"/>
      <c r="C766" s="66"/>
      <c r="D766" s="66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66"/>
      <c r="C767" s="66"/>
      <c r="D767" s="66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66"/>
      <c r="C768" s="66"/>
      <c r="D768" s="66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66"/>
      <c r="C769" s="66"/>
      <c r="D769" s="66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66"/>
      <c r="C770" s="66"/>
      <c r="D770" s="66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66"/>
      <c r="C771" s="66"/>
      <c r="D771" s="66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66"/>
      <c r="C772" s="66"/>
      <c r="D772" s="66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66"/>
      <c r="C773" s="66"/>
      <c r="D773" s="66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66"/>
      <c r="C774" s="66"/>
      <c r="D774" s="66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66"/>
      <c r="C775" s="66"/>
      <c r="D775" s="66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66"/>
      <c r="C776" s="66"/>
      <c r="D776" s="66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66"/>
      <c r="C777" s="66"/>
      <c r="D777" s="66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66"/>
      <c r="C778" s="66"/>
      <c r="D778" s="66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66"/>
      <c r="C779" s="66"/>
      <c r="D779" s="66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66"/>
      <c r="C780" s="66"/>
      <c r="D780" s="66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66"/>
      <c r="C781" s="66"/>
      <c r="D781" s="66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66"/>
      <c r="C782" s="66"/>
      <c r="D782" s="66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66"/>
      <c r="C783" s="66"/>
      <c r="D783" s="66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66"/>
      <c r="C784" s="66"/>
      <c r="D784" s="66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66"/>
      <c r="C785" s="66"/>
      <c r="D785" s="66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66"/>
      <c r="C786" s="66"/>
      <c r="D786" s="66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66"/>
      <c r="C787" s="66"/>
      <c r="D787" s="66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66"/>
      <c r="C788" s="66"/>
      <c r="D788" s="66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66"/>
      <c r="C789" s="66"/>
      <c r="D789" s="66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66"/>
      <c r="C790" s="66"/>
      <c r="D790" s="66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66"/>
      <c r="C791" s="66"/>
      <c r="D791" s="66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66"/>
      <c r="C792" s="66"/>
      <c r="D792" s="66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66"/>
      <c r="C793" s="66"/>
      <c r="D793" s="66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66"/>
      <c r="C794" s="66"/>
      <c r="D794" s="66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66"/>
      <c r="C795" s="66"/>
      <c r="D795" s="66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66"/>
      <c r="C796" s="66"/>
      <c r="D796" s="66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66"/>
      <c r="C797" s="66"/>
      <c r="D797" s="66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66"/>
      <c r="C798" s="66"/>
      <c r="D798" s="66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66"/>
      <c r="C799" s="66"/>
      <c r="D799" s="66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66"/>
      <c r="C800" s="66"/>
      <c r="D800" s="66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66"/>
      <c r="C801" s="66"/>
      <c r="D801" s="66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66"/>
      <c r="C802" s="66"/>
      <c r="D802" s="66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66"/>
      <c r="C803" s="66"/>
      <c r="D803" s="66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66"/>
      <c r="C804" s="66"/>
      <c r="D804" s="66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66"/>
      <c r="C805" s="66"/>
      <c r="D805" s="66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66"/>
      <c r="C806" s="66"/>
      <c r="D806" s="66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66"/>
      <c r="C807" s="66"/>
      <c r="D807" s="66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66"/>
      <c r="C808" s="66"/>
      <c r="D808" s="66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66"/>
      <c r="C809" s="66"/>
      <c r="D809" s="66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66"/>
      <c r="C810" s="66"/>
      <c r="D810" s="66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66"/>
      <c r="C811" s="66"/>
      <c r="D811" s="66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66"/>
      <c r="C812" s="66"/>
      <c r="D812" s="66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66"/>
      <c r="C813" s="66"/>
      <c r="D813" s="66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66"/>
      <c r="C814" s="66"/>
      <c r="D814" s="66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66"/>
      <c r="C815" s="66"/>
      <c r="D815" s="66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66"/>
      <c r="C816" s="66"/>
      <c r="D816" s="66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66"/>
      <c r="C817" s="66"/>
      <c r="D817" s="66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66"/>
      <c r="C818" s="66"/>
      <c r="D818" s="66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66"/>
      <c r="C819" s="66"/>
      <c r="D819" s="66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66"/>
      <c r="C820" s="66"/>
      <c r="D820" s="66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66"/>
      <c r="C821" s="66"/>
      <c r="D821" s="66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66"/>
      <c r="C822" s="66"/>
      <c r="D822" s="66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66"/>
      <c r="C823" s="66"/>
      <c r="D823" s="66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66"/>
      <c r="C824" s="66"/>
      <c r="D824" s="66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66"/>
      <c r="C825" s="66"/>
      <c r="D825" s="66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66"/>
      <c r="C826" s="66"/>
      <c r="D826" s="66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66"/>
      <c r="C827" s="66"/>
      <c r="D827" s="66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66"/>
      <c r="C828" s="66"/>
      <c r="D828" s="66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66"/>
      <c r="C829" s="66"/>
      <c r="D829" s="66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66"/>
      <c r="C830" s="66"/>
      <c r="D830" s="66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66"/>
      <c r="C831" s="66"/>
      <c r="D831" s="66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66"/>
      <c r="C832" s="66"/>
      <c r="D832" s="66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66"/>
      <c r="C833" s="66"/>
      <c r="D833" s="66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66"/>
      <c r="C834" s="66"/>
      <c r="D834" s="66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66"/>
      <c r="C835" s="66"/>
      <c r="D835" s="66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66"/>
      <c r="C836" s="66"/>
      <c r="D836" s="66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66"/>
      <c r="C837" s="66"/>
      <c r="D837" s="66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66"/>
      <c r="C838" s="66"/>
      <c r="D838" s="66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66"/>
      <c r="C839" s="66"/>
      <c r="D839" s="66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66"/>
      <c r="C840" s="66"/>
      <c r="D840" s="66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66"/>
      <c r="C841" s="66"/>
      <c r="D841" s="66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66"/>
      <c r="C842" s="66"/>
      <c r="D842" s="66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66"/>
      <c r="C843" s="66"/>
      <c r="D843" s="66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66"/>
      <c r="C844" s="66"/>
      <c r="D844" s="66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66"/>
      <c r="C845" s="66"/>
      <c r="D845" s="66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66"/>
      <c r="C846" s="66"/>
      <c r="D846" s="66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66"/>
      <c r="C847" s="66"/>
      <c r="D847" s="66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66"/>
      <c r="C848" s="66"/>
      <c r="D848" s="66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66"/>
      <c r="C849" s="66"/>
      <c r="D849" s="66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66"/>
      <c r="C850" s="66"/>
      <c r="D850" s="66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66"/>
      <c r="C851" s="66"/>
      <c r="D851" s="66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66"/>
      <c r="C852" s="66"/>
      <c r="D852" s="66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66"/>
      <c r="C853" s="66"/>
      <c r="D853" s="66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66"/>
      <c r="C854" s="66"/>
      <c r="D854" s="66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66"/>
      <c r="C855" s="66"/>
      <c r="D855" s="66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66"/>
      <c r="C856" s="66"/>
      <c r="D856" s="66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66"/>
      <c r="C857" s="66"/>
      <c r="D857" s="66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66"/>
      <c r="C858" s="66"/>
      <c r="D858" s="66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66"/>
      <c r="C859" s="66"/>
      <c r="D859" s="66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66"/>
      <c r="C860" s="66"/>
      <c r="D860" s="66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66"/>
      <c r="C861" s="66"/>
      <c r="D861" s="66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66"/>
      <c r="C862" s="66"/>
      <c r="D862" s="66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66"/>
      <c r="C863" s="66"/>
      <c r="D863" s="66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66"/>
      <c r="C864" s="66"/>
      <c r="D864" s="66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66"/>
      <c r="C865" s="66"/>
      <c r="D865" s="66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66"/>
      <c r="C866" s="66"/>
      <c r="D866" s="66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66"/>
      <c r="C867" s="66"/>
      <c r="D867" s="66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66"/>
      <c r="C868" s="66"/>
      <c r="D868" s="66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66"/>
      <c r="C869" s="66"/>
      <c r="D869" s="66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66"/>
      <c r="C870" s="66"/>
      <c r="D870" s="66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66"/>
      <c r="C871" s="66"/>
      <c r="D871" s="66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66"/>
      <c r="C872" s="66"/>
      <c r="D872" s="66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66"/>
      <c r="C873" s="66"/>
      <c r="D873" s="66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66"/>
      <c r="C874" s="66"/>
      <c r="D874" s="66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66"/>
      <c r="C875" s="66"/>
      <c r="D875" s="66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66"/>
      <c r="C876" s="66"/>
      <c r="D876" s="66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66"/>
      <c r="C877" s="66"/>
      <c r="D877" s="66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66"/>
      <c r="C878" s="66"/>
      <c r="D878" s="66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66"/>
      <c r="C879" s="66"/>
      <c r="D879" s="66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66"/>
      <c r="C880" s="66"/>
      <c r="D880" s="66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66"/>
      <c r="C881" s="66"/>
      <c r="D881" s="66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66"/>
      <c r="C882" s="66"/>
      <c r="D882" s="66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66"/>
      <c r="C883" s="66"/>
      <c r="D883" s="66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66"/>
      <c r="C884" s="66"/>
      <c r="D884" s="66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66"/>
      <c r="C885" s="66"/>
      <c r="D885" s="66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66"/>
      <c r="C886" s="66"/>
      <c r="D886" s="66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66"/>
      <c r="C887" s="66"/>
      <c r="D887" s="66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66"/>
      <c r="C888" s="66"/>
      <c r="D888" s="66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66"/>
      <c r="C889" s="66"/>
      <c r="D889" s="66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66"/>
      <c r="C890" s="66"/>
      <c r="D890" s="66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66"/>
      <c r="C891" s="66"/>
      <c r="D891" s="66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66"/>
      <c r="C892" s="66"/>
      <c r="D892" s="66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66"/>
      <c r="C893" s="66"/>
      <c r="D893" s="66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66"/>
      <c r="C894" s="66"/>
      <c r="D894" s="66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66"/>
      <c r="C895" s="66"/>
      <c r="D895" s="66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66"/>
      <c r="C896" s="66"/>
      <c r="D896" s="66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66"/>
      <c r="C897" s="66"/>
      <c r="D897" s="66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66"/>
      <c r="C898" s="66"/>
      <c r="D898" s="66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66"/>
      <c r="C899" s="66"/>
      <c r="D899" s="66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66"/>
      <c r="C900" s="66"/>
      <c r="D900" s="66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66"/>
      <c r="C901" s="66"/>
      <c r="D901" s="66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66"/>
      <c r="C902" s="66"/>
      <c r="D902" s="66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66"/>
      <c r="C903" s="66"/>
      <c r="D903" s="66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66"/>
      <c r="C904" s="66"/>
      <c r="D904" s="66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66"/>
      <c r="C905" s="66"/>
      <c r="D905" s="66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66"/>
      <c r="C906" s="66"/>
      <c r="D906" s="66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66"/>
      <c r="C907" s="66"/>
      <c r="D907" s="66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66"/>
      <c r="C908" s="66"/>
      <c r="D908" s="66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66"/>
      <c r="C909" s="66"/>
      <c r="D909" s="66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66"/>
      <c r="C910" s="66"/>
      <c r="D910" s="66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66"/>
      <c r="C911" s="66"/>
      <c r="D911" s="66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66"/>
      <c r="C912" s="66"/>
      <c r="D912" s="66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66"/>
      <c r="C913" s="66"/>
      <c r="D913" s="66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66"/>
      <c r="C914" s="66"/>
      <c r="D914" s="66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66"/>
      <c r="C915" s="66"/>
      <c r="D915" s="66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66"/>
      <c r="C916" s="66"/>
      <c r="D916" s="66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66"/>
      <c r="C917" s="66"/>
      <c r="D917" s="66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66"/>
      <c r="C918" s="66"/>
      <c r="D918" s="66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66"/>
      <c r="C919" s="66"/>
      <c r="D919" s="66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66"/>
      <c r="C920" s="66"/>
      <c r="D920" s="66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66"/>
      <c r="C921" s="66"/>
      <c r="D921" s="66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66"/>
      <c r="C922" s="66"/>
      <c r="D922" s="66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66"/>
      <c r="C923" s="66"/>
      <c r="D923" s="66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66"/>
      <c r="C924" s="66"/>
      <c r="D924" s="66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66"/>
      <c r="C925" s="66"/>
      <c r="D925" s="66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66"/>
      <c r="C926" s="66"/>
      <c r="D926" s="66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66"/>
      <c r="C927" s="66"/>
      <c r="D927" s="66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66"/>
      <c r="C928" s="66"/>
      <c r="D928" s="66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66"/>
      <c r="C929" s="66"/>
      <c r="D929" s="66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66"/>
      <c r="C930" s="66"/>
      <c r="D930" s="66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66"/>
      <c r="C931" s="66"/>
      <c r="D931" s="66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66"/>
      <c r="C932" s="66"/>
      <c r="D932" s="66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66"/>
      <c r="C933" s="66"/>
      <c r="D933" s="66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66"/>
      <c r="C934" s="66"/>
      <c r="D934" s="66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66"/>
      <c r="C935" s="66"/>
      <c r="D935" s="66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66"/>
      <c r="C936" s="66"/>
      <c r="D936" s="66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66"/>
      <c r="C937" s="66"/>
      <c r="D937" s="66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66"/>
      <c r="C938" s="66"/>
      <c r="D938" s="66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66"/>
      <c r="C939" s="66"/>
      <c r="D939" s="66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66"/>
      <c r="C940" s="66"/>
      <c r="D940" s="66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66"/>
      <c r="C941" s="66"/>
      <c r="D941" s="66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66"/>
      <c r="C942" s="66"/>
      <c r="D942" s="66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66"/>
      <c r="C943" s="66"/>
      <c r="D943" s="66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66"/>
      <c r="C944" s="66"/>
      <c r="D944" s="66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66"/>
      <c r="C945" s="66"/>
      <c r="D945" s="66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66"/>
      <c r="C946" s="66"/>
      <c r="D946" s="66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66"/>
      <c r="C947" s="66"/>
      <c r="D947" s="66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66"/>
      <c r="C948" s="66"/>
      <c r="D948" s="66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66"/>
      <c r="C949" s="66"/>
      <c r="D949" s="66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66"/>
      <c r="C950" s="66"/>
      <c r="D950" s="66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66"/>
      <c r="C951" s="66"/>
      <c r="D951" s="66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66"/>
      <c r="C952" s="66"/>
      <c r="D952" s="66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66"/>
      <c r="C953" s="66"/>
      <c r="D953" s="66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66"/>
      <c r="C954" s="66"/>
      <c r="D954" s="66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66"/>
      <c r="C955" s="66"/>
      <c r="D955" s="66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66"/>
      <c r="C956" s="66"/>
      <c r="D956" s="66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66"/>
      <c r="C957" s="66"/>
      <c r="D957" s="66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66"/>
      <c r="C958" s="66"/>
      <c r="D958" s="66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66"/>
      <c r="C959" s="66"/>
      <c r="D959" s="66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66"/>
      <c r="C960" s="66"/>
      <c r="D960" s="66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66"/>
      <c r="C961" s="66"/>
      <c r="D961" s="66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66"/>
      <c r="C962" s="66"/>
      <c r="D962" s="66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66"/>
      <c r="C963" s="66"/>
      <c r="D963" s="66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66"/>
      <c r="C964" s="66"/>
      <c r="D964" s="66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66"/>
      <c r="C965" s="66"/>
      <c r="D965" s="66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66"/>
      <c r="C966" s="66"/>
      <c r="D966" s="66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66"/>
      <c r="C967" s="66"/>
      <c r="D967" s="66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66"/>
      <c r="C968" s="66"/>
      <c r="D968" s="66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66"/>
      <c r="C969" s="66"/>
      <c r="D969" s="66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66"/>
      <c r="C970" s="66"/>
      <c r="D970" s="66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66"/>
      <c r="C971" s="66"/>
      <c r="D971" s="66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66"/>
      <c r="C972" s="66"/>
      <c r="D972" s="66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66"/>
      <c r="C973" s="66"/>
      <c r="D973" s="66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66"/>
      <c r="C974" s="66"/>
      <c r="D974" s="66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66"/>
      <c r="C975" s="66"/>
      <c r="D975" s="66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66"/>
      <c r="C976" s="66"/>
      <c r="D976" s="66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66"/>
      <c r="C977" s="66"/>
      <c r="D977" s="66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66"/>
      <c r="C978" s="66"/>
      <c r="D978" s="66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66"/>
      <c r="C979" s="66"/>
      <c r="D979" s="66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66"/>
      <c r="C980" s="66"/>
      <c r="D980" s="66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66"/>
      <c r="C981" s="66"/>
      <c r="D981" s="66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66"/>
      <c r="C982" s="66"/>
      <c r="D982" s="66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66"/>
      <c r="C983" s="66"/>
      <c r="D983" s="66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66"/>
      <c r="C984" s="66"/>
      <c r="D984" s="66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66"/>
      <c r="C985" s="66"/>
      <c r="D985" s="66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66"/>
      <c r="C986" s="66"/>
      <c r="D986" s="66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66"/>
      <c r="C987" s="66"/>
      <c r="D987" s="66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66"/>
      <c r="C988" s="66"/>
      <c r="D988" s="66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66"/>
      <c r="C989" s="66"/>
      <c r="D989" s="66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66"/>
      <c r="C990" s="66"/>
      <c r="D990" s="66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66"/>
      <c r="C991" s="66"/>
      <c r="D991" s="66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66"/>
      <c r="C992" s="66"/>
      <c r="D992" s="66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66"/>
      <c r="C993" s="66"/>
      <c r="D993" s="66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66"/>
      <c r="C994" s="66"/>
      <c r="D994" s="66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66"/>
      <c r="C995" s="66"/>
      <c r="D995" s="66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66"/>
      <c r="C996" s="66"/>
      <c r="D996" s="66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66"/>
      <c r="C997" s="66"/>
      <c r="D997" s="66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66"/>
      <c r="C998" s="66"/>
      <c r="D998" s="66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66"/>
      <c r="C999" s="66"/>
      <c r="D999" s="66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66"/>
      <c r="C1000" s="66"/>
      <c r="D1000" s="66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66"/>
      <c r="C1001" s="66"/>
      <c r="D1001" s="66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66"/>
      <c r="C1002" s="66"/>
      <c r="D1002" s="66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>
      <c r="A1003" s="47"/>
      <c r="B1003" s="66"/>
      <c r="C1003" s="66"/>
      <c r="D1003" s="66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>
      <c r="A1004" s="47"/>
      <c r="B1004" s="66"/>
      <c r="C1004" s="66"/>
      <c r="D1004" s="66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>
      <c r="A1005" s="47"/>
      <c r="B1005" s="66"/>
      <c r="C1005" s="66"/>
      <c r="D1005" s="66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>
      <c r="A1006" s="47"/>
      <c r="B1006" s="66"/>
      <c r="C1006" s="66"/>
      <c r="D1006" s="66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>
      <c r="A1007" s="47"/>
      <c r="B1007" s="66"/>
      <c r="C1007" s="66"/>
      <c r="D1007" s="66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>
      <c r="A1008" s="47"/>
      <c r="B1008" s="66"/>
      <c r="C1008" s="66"/>
      <c r="D1008" s="66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>
      <c r="A1009" s="47"/>
      <c r="B1009" s="66"/>
      <c r="C1009" s="66"/>
      <c r="D1009" s="66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</sheetData>
  <mergeCells count="7">
    <mergeCell ref="B2:C2"/>
    <mergeCell ref="B3:C3"/>
    <mergeCell ref="B4:C4"/>
    <mergeCell ref="B5:C5"/>
    <mergeCell ref="B6:C6"/>
    <mergeCell ref="B7:C7"/>
    <mergeCell ref="F2:F3"/>
  </mergeCells>
  <dataValidations>
    <dataValidation type="list" allowBlank="1" showErrorMessage="1" sqref="H10:H109">
      <formula1>"Pass,Fail,Not Test,Blocked,N/A"</formula1>
    </dataValidation>
  </dataValidations>
  <drawing r:id="rId1"/>
</worksheet>
</file>